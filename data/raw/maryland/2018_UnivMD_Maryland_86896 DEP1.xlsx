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/>
  <bookViews>
    <workbookView xWindow="0" yWindow="0" windowWidth="34695" windowHeight="15285" tabRatio="450" activeTab="3"/>
  </bookViews>
  <sheets>
    <sheet name="META-DATA" sheetId="1" r:id="rId1"/>
    <sheet name="DECK SYNCHRONIZATIONS" sheetId="3" r:id="rId2"/>
    <sheet name="ARGOS REPORT" sheetId="2" r:id="rId3"/>
    <sheet name="DATA TABLE FOR EXPORT" sheetId="7" r:id="rId4"/>
    <sheet name="GENERAL NOTES" sheetId="4" r:id="rId5"/>
    <sheet name="DICTIONARY" sheetId="5" r:id="rId6"/>
    <sheet name="DATA TABLE w FM" sheetId="8" r:id="rId7"/>
  </sheets>
  <definedNames>
    <definedName name="_xlnm._FilterDatabase" localSheetId="2" hidden="1">'ARGOS REPORT'!$A$8:$I$42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3" i="1" l="1"/>
  <c r="V2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10" i="1"/>
  <c r="AL11" i="1"/>
  <c r="AM4" i="7"/>
  <c r="AM5" i="7"/>
  <c r="AM3" i="7"/>
  <c r="AM2" i="7"/>
  <c r="A3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4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5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T3" i="8"/>
  <c r="T2" i="7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I35" i="2"/>
  <c r="H35" i="2"/>
  <c r="G35" i="2"/>
  <c r="F35" i="2"/>
  <c r="E35" i="2"/>
  <c r="D35" i="2"/>
  <c r="C35" i="2"/>
  <c r="B35" i="2"/>
  <c r="A35" i="2"/>
  <c r="AK2" i="7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H2" i="7"/>
  <c r="Y2" i="7"/>
  <c r="V2" i="7"/>
  <c r="AE2" i="7"/>
  <c r="AB2" i="7"/>
  <c r="AL9" i="1"/>
  <c r="B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U2" i="7"/>
  <c r="W2" i="7"/>
  <c r="X2" i="7"/>
  <c r="Z2" i="7"/>
  <c r="AA2" i="7"/>
  <c r="AC2" i="7"/>
  <c r="AD2" i="7"/>
  <c r="AF2" i="7"/>
  <c r="AG2" i="7"/>
  <c r="AI2" i="7"/>
  <c r="AJ2" i="7"/>
  <c r="AL2" i="7"/>
  <c r="A2" i="7"/>
  <c r="B42" i="2"/>
  <c r="B29" i="2"/>
  <c r="B30" i="2"/>
  <c r="B31" i="2"/>
  <c r="B32" i="2"/>
  <c r="B33" i="2"/>
  <c r="B34" i="2"/>
  <c r="B26" i="2"/>
  <c r="B40" i="2"/>
  <c r="B27" i="2"/>
  <c r="B41" i="2"/>
  <c r="B28" i="2"/>
  <c r="B21" i="2"/>
  <c r="B22" i="2"/>
  <c r="B23" i="2"/>
  <c r="B24" i="2"/>
  <c r="B25" i="2"/>
  <c r="B15" i="2"/>
  <c r="B16" i="2"/>
  <c r="B17" i="2"/>
  <c r="B18" i="2"/>
  <c r="B19" i="2"/>
  <c r="B20" i="2"/>
  <c r="B39" i="2"/>
  <c r="B9" i="2"/>
  <c r="B10" i="2"/>
  <c r="B11" i="2"/>
  <c r="B12" i="2"/>
  <c r="B13" i="2"/>
  <c r="B14" i="2"/>
  <c r="B36" i="2"/>
  <c r="D42" i="2"/>
  <c r="E42" i="2"/>
  <c r="F42" i="2"/>
  <c r="G42" i="2"/>
  <c r="D29" i="2"/>
  <c r="E29" i="2"/>
  <c r="F29" i="2"/>
  <c r="G29" i="2"/>
  <c r="D30" i="2"/>
  <c r="E30" i="2"/>
  <c r="F30" i="2"/>
  <c r="G30" i="2"/>
  <c r="D31" i="2"/>
  <c r="E31" i="2"/>
  <c r="F31" i="2"/>
  <c r="G31" i="2"/>
  <c r="D32" i="2"/>
  <c r="E32" i="2"/>
  <c r="F32" i="2"/>
  <c r="G32" i="2"/>
  <c r="D33" i="2"/>
  <c r="E33" i="2"/>
  <c r="F33" i="2"/>
  <c r="G33" i="2"/>
  <c r="D34" i="2"/>
  <c r="E34" i="2"/>
  <c r="F34" i="2"/>
  <c r="G34" i="2"/>
  <c r="D26" i="2"/>
  <c r="E26" i="2"/>
  <c r="F26" i="2"/>
  <c r="G26" i="2"/>
  <c r="D40" i="2"/>
  <c r="E40" i="2"/>
  <c r="F40" i="2"/>
  <c r="G40" i="2"/>
  <c r="D27" i="2"/>
  <c r="E27" i="2"/>
  <c r="F27" i="2"/>
  <c r="G27" i="2"/>
  <c r="D41" i="2"/>
  <c r="E41" i="2"/>
  <c r="F41" i="2"/>
  <c r="G41" i="2"/>
  <c r="D28" i="2"/>
  <c r="E28" i="2"/>
  <c r="F28" i="2"/>
  <c r="G28" i="2"/>
  <c r="D21" i="2"/>
  <c r="E21" i="2"/>
  <c r="F21" i="2"/>
  <c r="G21" i="2"/>
  <c r="D22" i="2"/>
  <c r="E22" i="2"/>
  <c r="F22" i="2"/>
  <c r="G22" i="2"/>
  <c r="D23" i="2"/>
  <c r="E23" i="2"/>
  <c r="F23" i="2"/>
  <c r="G23" i="2"/>
  <c r="D24" i="2"/>
  <c r="E24" i="2"/>
  <c r="F24" i="2"/>
  <c r="G24" i="2"/>
  <c r="D25" i="2"/>
  <c r="E25" i="2"/>
  <c r="F25" i="2"/>
  <c r="G25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39" i="2"/>
  <c r="E39" i="2"/>
  <c r="F39" i="2"/>
  <c r="G39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36" i="2"/>
  <c r="E36" i="2"/>
  <c r="F36" i="2"/>
  <c r="G36" i="2"/>
  <c r="H42" i="2"/>
  <c r="I42" i="2"/>
  <c r="H29" i="2"/>
  <c r="I29" i="2"/>
  <c r="H30" i="2"/>
  <c r="I30" i="2"/>
  <c r="H31" i="2"/>
  <c r="I31" i="2"/>
  <c r="H32" i="2"/>
  <c r="I32" i="2"/>
  <c r="H33" i="2"/>
  <c r="I33" i="2"/>
  <c r="H34" i="2"/>
  <c r="I34" i="2"/>
  <c r="H26" i="2"/>
  <c r="I26" i="2"/>
  <c r="H40" i="2"/>
  <c r="I40" i="2"/>
  <c r="H27" i="2"/>
  <c r="I27" i="2"/>
  <c r="H41" i="2"/>
  <c r="I41" i="2"/>
  <c r="H28" i="2"/>
  <c r="I28" i="2"/>
  <c r="H21" i="2"/>
  <c r="I21" i="2"/>
  <c r="H22" i="2"/>
  <c r="I22" i="2"/>
  <c r="H23" i="2"/>
  <c r="I23" i="2"/>
  <c r="H24" i="2"/>
  <c r="I24" i="2"/>
  <c r="H25" i="2"/>
  <c r="I25" i="2"/>
  <c r="H15" i="2"/>
  <c r="I15" i="2"/>
  <c r="H16" i="2"/>
  <c r="I16" i="2"/>
  <c r="H17" i="2"/>
  <c r="I17" i="2"/>
  <c r="H18" i="2"/>
  <c r="I18" i="2"/>
  <c r="H19" i="2"/>
  <c r="I19" i="2"/>
  <c r="H20" i="2"/>
  <c r="I20" i="2"/>
  <c r="H39" i="2"/>
  <c r="I39" i="2"/>
  <c r="H9" i="2"/>
  <c r="I9" i="2"/>
  <c r="H10" i="2"/>
  <c r="I10" i="2"/>
  <c r="H11" i="2"/>
  <c r="I11" i="2"/>
  <c r="H12" i="2"/>
  <c r="I12" i="2"/>
  <c r="H13" i="2"/>
  <c r="I13" i="2"/>
  <c r="H14" i="2"/>
  <c r="I14" i="2"/>
  <c r="H36" i="2"/>
  <c r="I36" i="2"/>
  <c r="C42" i="2"/>
  <c r="C29" i="2"/>
  <c r="C30" i="2"/>
  <c r="C31" i="2"/>
  <c r="C32" i="2"/>
  <c r="C33" i="2"/>
  <c r="C34" i="2"/>
  <c r="C26" i="2"/>
  <c r="C40" i="2"/>
  <c r="C27" i="2"/>
  <c r="C41" i="2"/>
  <c r="C28" i="2"/>
  <c r="C21" i="2"/>
  <c r="C22" i="2"/>
  <c r="C23" i="2"/>
  <c r="C24" i="2"/>
  <c r="C25" i="2"/>
  <c r="C15" i="2"/>
  <c r="C16" i="2"/>
  <c r="C17" i="2"/>
  <c r="C18" i="2"/>
  <c r="C19" i="2"/>
  <c r="C20" i="2"/>
  <c r="C39" i="2"/>
  <c r="C9" i="2"/>
  <c r="C10" i="2"/>
  <c r="C11" i="2"/>
  <c r="C12" i="2"/>
  <c r="C13" i="2"/>
  <c r="C14" i="2"/>
  <c r="C36" i="2"/>
  <c r="A42" i="2"/>
  <c r="A29" i="2"/>
  <c r="A30" i="2"/>
  <c r="A31" i="2"/>
  <c r="A32" i="2"/>
  <c r="A33" i="2"/>
  <c r="A34" i="2"/>
  <c r="A26" i="2"/>
  <c r="A40" i="2"/>
  <c r="A27" i="2"/>
  <c r="A41" i="2"/>
  <c r="A28" i="2"/>
  <c r="A21" i="2"/>
  <c r="A22" i="2"/>
  <c r="A23" i="2"/>
  <c r="A24" i="2"/>
  <c r="A25" i="2"/>
  <c r="A15" i="2"/>
  <c r="A16" i="2"/>
  <c r="A17" i="2"/>
  <c r="A18" i="2"/>
  <c r="A19" i="2"/>
  <c r="A20" i="2"/>
  <c r="A39" i="2"/>
  <c r="A9" i="2"/>
  <c r="A10" i="2"/>
  <c r="A11" i="2"/>
  <c r="A12" i="2"/>
  <c r="A13" i="2"/>
  <c r="A14" i="2"/>
  <c r="A36" i="2"/>
  <c r="D3" i="2"/>
  <c r="D4" i="2"/>
  <c r="E3" i="3"/>
  <c r="E2" i="3"/>
</calcChain>
</file>

<file path=xl/comments1.xml><?xml version="1.0" encoding="utf-8"?>
<comments xmlns="http://schemas.openxmlformats.org/spreadsheetml/2006/main">
  <authors>
    <author>Frederick R. Channell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>Frederick R. Channell:</t>
        </r>
        <r>
          <rPr>
            <sz val="9"/>
            <color indexed="81"/>
            <rFont val="Tahoma"/>
            <family val="2"/>
          </rPr>
          <t xml:space="preserve">
AMAR; MARU; ROCKHOPPER; OTHER</t>
        </r>
      </text>
    </comment>
    <comment ref="M8" authorId="0">
      <text>
        <r>
          <rPr>
            <b/>
            <sz val="9"/>
            <color indexed="81"/>
            <rFont val="Tahoma"/>
            <family val="2"/>
          </rPr>
          <t xml:space="preserve">IF RECORDING IS CONTINUOUS, NOT DUTY CYCLED; 
ENTER THE DIGIT "0" IN THIS COLUMN
</t>
        </r>
      </text>
    </comment>
    <comment ref="N8" authorId="0">
      <text>
        <r>
          <rPr>
            <b/>
            <sz val="9"/>
            <color indexed="81"/>
            <rFont val="Tahoma"/>
            <family val="2"/>
          </rPr>
          <t>IF RECORDING IS CONTINUOUS, NOT DUTY CYCLED; 
ENTER THE DIGIT "0" IN THIS COLUMN</t>
        </r>
      </text>
    </comment>
  </commentList>
</comments>
</file>

<file path=xl/comments2.xml><?xml version="1.0" encoding="utf-8"?>
<comments xmlns="http://schemas.openxmlformats.org/spreadsheetml/2006/main">
  <authors>
    <author>Frederick R. Channell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Frederick R. Channell:</t>
        </r>
        <r>
          <rPr>
            <sz val="9"/>
            <color indexed="81"/>
            <rFont val="Tahoma"/>
            <family val="2"/>
          </rPr>
          <t xml:space="preserve">
AMAR; MARU; ROCKHOPPER; OTHER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 xml:space="preserve">IF RECORDING IS CONTINUOUS, NOT DUTY CYCLED; 
ENTER THE DIGIT "0" IN THIS COLUMN
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>IF RECORDING IS CONTINUOUS, NOT DUTY CYCLED; 
ENTER THE DIGIT "0" IN THIS COLUMN</t>
        </r>
      </text>
    </comment>
  </commentList>
</comments>
</file>

<file path=xl/sharedStrings.xml><?xml version="1.0" encoding="utf-8"?>
<sst xmlns="http://schemas.openxmlformats.org/spreadsheetml/2006/main" count="363" uniqueCount="137">
  <si>
    <t>DROP DATE</t>
  </si>
  <si>
    <t>RECORD START DATE</t>
  </si>
  <si>
    <t>COMMENT</t>
  </si>
  <si>
    <t>1 Bang</t>
  </si>
  <si>
    <t>DATE</t>
  </si>
  <si>
    <t>TIME</t>
  </si>
  <si>
    <t>TYPE OF SOUND</t>
  </si>
  <si>
    <t>5 Bang</t>
  </si>
  <si>
    <t>3 Bang</t>
  </si>
  <si>
    <t>2 Bang</t>
  </si>
  <si>
    <t>RETRIEVAL DATE</t>
  </si>
  <si>
    <t>DISCONNECT DATE</t>
  </si>
  <si>
    <t xml:space="preserve"> DISCONNECT TIME (1min accuracy)</t>
  </si>
  <si>
    <t>DROP TIME (1min accuracy)</t>
  </si>
  <si>
    <t>RECORD START TIME (&lt;1sec accuracy)</t>
  </si>
  <si>
    <t>Burn Date Set</t>
  </si>
  <si>
    <t>Burn Time Set</t>
  </si>
  <si>
    <t>UNIT #</t>
  </si>
  <si>
    <t>ON DECK TIME (5min accuracy)</t>
  </si>
  <si>
    <t>ARGOS #</t>
  </si>
  <si>
    <t>FREQUENCY</t>
  </si>
  <si>
    <t>PROJECT NAME</t>
  </si>
  <si>
    <t>ARRAY ID</t>
  </si>
  <si>
    <t>DEPLOYMENT</t>
  </si>
  <si>
    <t>UNIT NUMBERS</t>
  </si>
  <si>
    <t>GLOBAL</t>
  </si>
  <si>
    <t>BEGINNING DECK BANGS</t>
  </si>
  <si>
    <t>END DECK BANGS</t>
  </si>
  <si>
    <t>PROJECT</t>
  </si>
  <si>
    <t>Recorder Type</t>
  </si>
  <si>
    <t>FREQ, kHz</t>
  </si>
  <si>
    <t>Gain dB</t>
  </si>
  <si>
    <t>DUTY CYCLE seconds on</t>
  </si>
  <si>
    <t>DUTY CYCLE seconds off</t>
  </si>
  <si>
    <t>DROP LON Decimal Degrees</t>
  </si>
  <si>
    <t>DROP LAT Decimal Degrees</t>
  </si>
  <si>
    <t>DEPTH  IN METERS</t>
  </si>
  <si>
    <t>SOURCE FOR DEPTH</t>
  </si>
  <si>
    <t>RECORDER TYPE :</t>
  </si>
  <si>
    <t>DUTY CYCLE:</t>
  </si>
  <si>
    <t>SOURCE FOR DEPTH :</t>
  </si>
  <si>
    <t>( C ) IF FROM A CHART</t>
  </si>
  <si>
    <t>( G ) IF FROM GOOGLE EARTH</t>
  </si>
  <si>
    <t>( H ) IF FROM HISTORICAL DATA (PREVIOUS DEPLOYMENT)</t>
  </si>
  <si>
    <t>AMAR</t>
  </si>
  <si>
    <t>ROCKHOPPER</t>
  </si>
  <si>
    <t>( 0 ) IF CONTINOUS RECORDINGS</t>
  </si>
  <si>
    <t>( SECONDS ) IF DUTY CYCLED</t>
  </si>
  <si>
    <t>SITE ID</t>
  </si>
  <si>
    <t>Time Zone :</t>
  </si>
  <si>
    <t>CONVERT TO UTC PRIOR TO RECORDING ON THIS SHEET</t>
  </si>
  <si>
    <t>IF TIME IS RECORDED DIFFERENTLY IN DECK NOTES,</t>
  </si>
  <si>
    <t>AND INSERT DETAILS IN THE COMMENTS SECTION</t>
  </si>
  <si>
    <t>DRIVE # 1</t>
  </si>
  <si>
    <t>DRIVE # 2</t>
  </si>
  <si>
    <t>Calculated Earliest Start Date</t>
  </si>
  <si>
    <t>V2.5 Popup</t>
  </si>
  <si>
    <t>Medium Type</t>
  </si>
  <si>
    <t>CompactFlash</t>
  </si>
  <si>
    <t>RECORD START TIME ZONE</t>
  </si>
  <si>
    <t>Drop TIME ZONE</t>
  </si>
  <si>
    <t>Retrieval TIME ZONE</t>
  </si>
  <si>
    <t>Burn TIME ZONE</t>
  </si>
  <si>
    <t>Shut Down TIME ZONE</t>
  </si>
  <si>
    <t>Filter, High Pass Hz</t>
  </si>
  <si>
    <t>Filter, Low Pass Hz</t>
  </si>
  <si>
    <t>FREQ Hz</t>
  </si>
  <si>
    <t>Calculated Deployment Number</t>
  </si>
  <si>
    <t>C</t>
  </si>
  <si>
    <t>PROJECT NAME &gt;&gt;&gt;</t>
  </si>
  <si>
    <t>DEPLOYMENT &gt;&gt;&gt;</t>
  </si>
  <si>
    <t>SAMPLE DATA</t>
  </si>
  <si>
    <t>RECORD ALL TIMES IN OFFSET FROM UTC</t>
  </si>
  <si>
    <t>Example: UTC = 0,  EST = -5, EDT = -4</t>
  </si>
  <si>
    <t>THIS IS SAMPLE DATA - DO NOT CHANGE</t>
  </si>
  <si>
    <t>DO NOT TYPE IN ANY YELLOW BOX</t>
  </si>
  <si>
    <t>FIELD OPERATIONS TECHNICIAN &gt;&gt;&gt;</t>
  </si>
  <si>
    <t>RED BOXES REQUIRE INPUT</t>
  </si>
  <si>
    <t>X1</t>
  </si>
  <si>
    <t>4 Bang</t>
  </si>
  <si>
    <t>xxx</t>
  </si>
  <si>
    <t>arrayName</t>
  </si>
  <si>
    <t>recorderDeviceType</t>
  </si>
  <si>
    <t>containerID</t>
  </si>
  <si>
    <t>recordMediumType</t>
  </si>
  <si>
    <t>recordMediumMasterBRPID</t>
  </si>
  <si>
    <t>recordMediumSlaveBRPID</t>
  </si>
  <si>
    <t>nominalID</t>
  </si>
  <si>
    <t>samplingRate_Hz</t>
  </si>
  <si>
    <t>highPassSetting_Hz</t>
  </si>
  <si>
    <t>lowPassSetting_Hz</t>
  </si>
  <si>
    <t>gain_dB</t>
  </si>
  <si>
    <t>dutyCycleOnDuration_secs</t>
  </si>
  <si>
    <t>dutyCycleOffDuration_secs</t>
  </si>
  <si>
    <t>latitudeDeployed_DecDeg</t>
  </si>
  <si>
    <t>longitudeDeployed_DecDeg</t>
  </si>
  <si>
    <t>deploymentDepth_Meters</t>
  </si>
  <si>
    <t>depthOrElevationDeterminationMethod</t>
  </si>
  <si>
    <t>argosID</t>
  </si>
  <si>
    <t>XEOS ID</t>
  </si>
  <si>
    <t>xeosID</t>
  </si>
  <si>
    <t>recordStartDate</t>
  </si>
  <si>
    <t>recordStartTime</t>
  </si>
  <si>
    <t>timeZoneOfRecordStart</t>
  </si>
  <si>
    <t>deployDate</t>
  </si>
  <si>
    <t>deployTime</t>
  </si>
  <si>
    <t>timeZoneOfDeploymentSite</t>
  </si>
  <si>
    <t>recoveryDate</t>
  </si>
  <si>
    <t>recoveryTime</t>
  </si>
  <si>
    <t>timeZoneOfRecoverySite</t>
  </si>
  <si>
    <t>recordStopDate</t>
  </si>
  <si>
    <t>recordStopTime</t>
  </si>
  <si>
    <t>timeZoneOfRecordStop</t>
  </si>
  <si>
    <t>notes</t>
  </si>
  <si>
    <t>KEY_deployment_ID</t>
  </si>
  <si>
    <t>[FREQ, kHz]</t>
  </si>
  <si>
    <t>[FREQUENCY]</t>
  </si>
  <si>
    <t>[Burn Date Set]</t>
  </si>
  <si>
    <t>[Burn Time Set]</t>
  </si>
  <si>
    <t>[Burn TIME ZONE]</t>
  </si>
  <si>
    <t>DATA ENTRY NETID</t>
  </si>
  <si>
    <t>databaseEntrySource</t>
  </si>
  <si>
    <t>( S ) IF FROM A BOTTOM SOUNDER</t>
  </si>
  <si>
    <t>DATA ENTRY</t>
  </si>
  <si>
    <t>M3</t>
  </si>
  <si>
    <t>M1</t>
  </si>
  <si>
    <t>M2</t>
  </si>
  <si>
    <t>M4</t>
  </si>
  <si>
    <t>UMD</t>
  </si>
  <si>
    <t>S</t>
  </si>
  <si>
    <t>XXX</t>
  </si>
  <si>
    <t>ALL</t>
  </si>
  <si>
    <t>2018_UnivMD_Maryland_86896</t>
  </si>
  <si>
    <t>FRC29</t>
  </si>
  <si>
    <t>CTD# S8044     SURFACED EARLY, RECOVERED ON RETRIEVAL DAY</t>
  </si>
  <si>
    <t>CTD# S7959</t>
  </si>
  <si>
    <t>CTD# S7958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</si>
</sst>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409]d\-mmm\-yy;@"/>
    <numFmt numFmtId="165" formatCode="h:mm:ss;@"/>
    <numFmt numFmtId="166" formatCode="0.000000"/>
    <numFmt numFmtId="167" formatCode="0.0"/>
    <numFmt numFmtId="168" formatCode="0.000"/>
    <numFmt numFmtId="169" formatCode="yyyy\-mm\-dd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2"/>
      <name val="Calibri"/>
      <family val="2"/>
      <scheme val="minor"/>
    </font>
    <font>
      <b/>
      <sz val="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2"/>
      <color theme="3" tint="0.3999755851924192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4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D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9" tint="-0.249977111117893"/>
      </bottom>
      <diagonal/>
    </border>
    <border>
      <left/>
      <right/>
      <top/>
      <bottom style="thin">
        <color theme="9" tint="-0.249977111117893"/>
      </bottom>
      <diagonal/>
    </border>
    <border>
      <left style="thick">
        <color theme="9" tint="-0.249977111117893"/>
      </left>
      <right/>
      <top style="thick">
        <color theme="9" tint="-0.249977111117893"/>
      </top>
      <bottom/>
      <diagonal/>
    </border>
    <border>
      <left/>
      <right/>
      <top style="thick">
        <color theme="9" tint="-0.249977111117893"/>
      </top>
      <bottom/>
      <diagonal/>
    </border>
    <border>
      <left/>
      <right style="thick">
        <color theme="9" tint="-0.249977111117893"/>
      </right>
      <top style="thick">
        <color theme="9" tint="-0.249977111117893"/>
      </top>
      <bottom/>
      <diagonal/>
    </border>
    <border>
      <left style="thick">
        <color theme="9" tint="-0.249977111117893"/>
      </left>
      <right/>
      <top/>
      <bottom/>
      <diagonal/>
    </border>
    <border>
      <left/>
      <right style="thick">
        <color theme="9" tint="-0.249977111117893"/>
      </right>
      <top/>
      <bottom/>
      <diagonal/>
    </border>
    <border>
      <left style="thick">
        <color theme="9" tint="-0.249977111117893"/>
      </left>
      <right/>
      <top style="medium">
        <color auto="1"/>
      </top>
      <bottom style="thin">
        <color auto="1"/>
      </bottom>
      <diagonal/>
    </border>
    <border>
      <left/>
      <right style="thick">
        <color theme="9" tint="-0.249977111117893"/>
      </right>
      <top style="medium">
        <color auto="1"/>
      </top>
      <bottom style="thin">
        <color auto="1"/>
      </bottom>
      <diagonal/>
    </border>
    <border>
      <left style="thick">
        <color theme="9" tint="-0.249977111117893"/>
      </left>
      <right/>
      <top/>
      <bottom style="medium">
        <color auto="1"/>
      </bottom>
      <diagonal/>
    </border>
    <border>
      <left/>
      <right style="thick">
        <color theme="9" tint="-0.249977111117893"/>
      </right>
      <top/>
      <bottom style="medium">
        <color auto="1"/>
      </bottom>
      <diagonal/>
    </border>
    <border>
      <left style="thick">
        <color theme="9" tint="-0.249977111117893"/>
      </left>
      <right/>
      <top/>
      <bottom style="thick">
        <color theme="9" tint="-0.249977111117893"/>
      </bottom>
      <diagonal/>
    </border>
    <border>
      <left/>
      <right style="thick">
        <color theme="9" tint="-0.249977111117893"/>
      </right>
      <top/>
      <bottom style="thick">
        <color theme="9" tint="-0.249977111117893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2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61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8" fillId="5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 wrapText="1"/>
    </xf>
    <xf numFmtId="0" fontId="7" fillId="5" borderId="1" xfId="0" applyFont="1" applyFill="1" applyBorder="1" applyAlignment="1" applyProtection="1">
      <alignment horizontal="center" vertical="center"/>
    </xf>
    <xf numFmtId="0" fontId="1" fillId="0" borderId="0" xfId="0" applyFont="1" applyAlignment="1"/>
    <xf numFmtId="1" fontId="5" fillId="5" borderId="1" xfId="0" applyNumberFormat="1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wrapText="1"/>
    </xf>
    <xf numFmtId="168" fontId="5" fillId="5" borderId="1" xfId="0" applyNumberFormat="1" applyFont="1" applyFill="1" applyBorder="1" applyAlignment="1">
      <alignment horizontal="center" vertical="center" wrapText="1"/>
    </xf>
    <xf numFmtId="168" fontId="8" fillId="5" borderId="1" xfId="0" applyNumberFormat="1" applyFont="1" applyFill="1" applyBorder="1" applyAlignment="1">
      <alignment horizontal="center" vertical="center"/>
    </xf>
    <xf numFmtId="168" fontId="1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5" xfId="0" applyFont="1" applyBorder="1" applyAlignment="1">
      <alignment wrapText="1"/>
    </xf>
    <xf numFmtId="0" fontId="4" fillId="0" borderId="0" xfId="0" applyFont="1" applyBorder="1" applyAlignment="1"/>
    <xf numFmtId="21" fontId="4" fillId="0" borderId="0" xfId="0" applyNumberFormat="1" applyFont="1" applyBorder="1" applyAlignment="1"/>
    <xf numFmtId="0" fontId="4" fillId="4" borderId="0" xfId="0" applyFont="1" applyFill="1" applyBorder="1" applyAlignment="1">
      <alignment horizontal="center" vertical="center"/>
    </xf>
    <xf numFmtId="21" fontId="4" fillId="0" borderId="0" xfId="0" applyNumberFormat="1" applyFont="1" applyFill="1" applyBorder="1" applyAlignment="1"/>
    <xf numFmtId="0" fontId="4" fillId="0" borderId="0" xfId="0" applyFont="1" applyFill="1" applyBorder="1" applyAlignment="1"/>
    <xf numFmtId="0" fontId="4" fillId="4" borderId="2" xfId="0" applyFont="1" applyFill="1" applyBorder="1" applyAlignment="1">
      <alignment horizontal="center" vertical="center"/>
    </xf>
    <xf numFmtId="21" fontId="4" fillId="0" borderId="2" xfId="0" applyNumberFormat="1" applyFont="1" applyFill="1" applyBorder="1" applyAlignment="1"/>
    <xf numFmtId="0" fontId="4" fillId="0" borderId="2" xfId="0" applyFont="1" applyFill="1" applyBorder="1" applyAlignment="1"/>
    <xf numFmtId="0" fontId="12" fillId="0" borderId="0" xfId="0" applyFont="1"/>
    <xf numFmtId="0" fontId="5" fillId="0" borderId="5" xfId="0" applyFont="1" applyBorder="1" applyAlignment="1">
      <alignment horizontal="right" wrapText="1"/>
    </xf>
    <xf numFmtId="169" fontId="1" fillId="0" borderId="0" xfId="0" applyNumberFormat="1" applyFont="1" applyAlignment="1">
      <alignment horizontal="center" wrapText="1"/>
    </xf>
    <xf numFmtId="169" fontId="5" fillId="6" borderId="1" xfId="0" applyNumberFormat="1" applyFont="1" applyFill="1" applyBorder="1" applyAlignment="1">
      <alignment horizontal="center" vertical="center" wrapText="1"/>
    </xf>
    <xf numFmtId="169" fontId="8" fillId="6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5" fillId="5" borderId="7" xfId="0" applyFont="1" applyFill="1" applyBorder="1" applyAlignment="1">
      <alignment horizontal="center" vertical="center" wrapText="1"/>
    </xf>
    <xf numFmtId="164" fontId="5" fillId="5" borderId="7" xfId="0" applyNumberFormat="1" applyFont="1" applyFill="1" applyBorder="1" applyAlignment="1">
      <alignment horizontal="center" vertical="center" wrapText="1"/>
    </xf>
    <xf numFmtId="166" fontId="5" fillId="5" borderId="7" xfId="0" applyNumberFormat="1" applyFont="1" applyFill="1" applyBorder="1" applyAlignment="1">
      <alignment horizontal="center" vertical="center" wrapText="1"/>
    </xf>
    <xf numFmtId="167" fontId="5" fillId="5" borderId="7" xfId="1" applyNumberFormat="1" applyFont="1" applyFill="1" applyBorder="1" applyAlignment="1">
      <alignment horizontal="center" vertical="center" wrapText="1"/>
    </xf>
    <xf numFmtId="1" fontId="5" fillId="5" borderId="7" xfId="0" applyNumberFormat="1" applyFont="1" applyFill="1" applyBorder="1" applyAlignment="1">
      <alignment horizontal="center" vertical="center" wrapText="1"/>
    </xf>
    <xf numFmtId="168" fontId="5" fillId="5" borderId="7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9" fontId="5" fillId="2" borderId="7" xfId="0" applyNumberFormat="1" applyFont="1" applyFill="1" applyBorder="1" applyAlignment="1">
      <alignment horizontal="center" vertical="center" wrapText="1"/>
    </xf>
    <xf numFmtId="165" fontId="5" fillId="2" borderId="7" xfId="0" applyNumberFormat="1" applyFont="1" applyFill="1" applyBorder="1" applyAlignment="1">
      <alignment horizontal="center" vertical="center" wrapText="1"/>
    </xf>
    <xf numFmtId="165" fontId="5" fillId="3" borderId="7" xfId="0" applyNumberFormat="1" applyFont="1" applyFill="1" applyBorder="1" applyAlignment="1">
      <alignment horizontal="center" vertical="center" wrapText="1"/>
    </xf>
    <xf numFmtId="169" fontId="5" fillId="6" borderId="7" xfId="0" applyNumberFormat="1" applyFont="1" applyFill="1" applyBorder="1" applyAlignment="1">
      <alignment horizontal="center" vertical="center" wrapText="1"/>
    </xf>
    <xf numFmtId="165" fontId="5" fillId="6" borderId="7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left"/>
    </xf>
    <xf numFmtId="168" fontId="6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7" fontId="15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left"/>
    </xf>
    <xf numFmtId="0" fontId="6" fillId="0" borderId="0" xfId="0" applyFont="1" applyBorder="1" applyAlignment="1">
      <alignment horizontal="left"/>
    </xf>
    <xf numFmtId="169" fontId="5" fillId="3" borderId="7" xfId="0" applyNumberFormat="1" applyFont="1" applyFill="1" applyBorder="1" applyAlignment="1">
      <alignment horizontal="center" vertical="center" wrapText="1"/>
    </xf>
    <xf numFmtId="169" fontId="1" fillId="0" borderId="0" xfId="0" applyNumberFormat="1" applyFont="1" applyAlignment="1">
      <alignment horizontal="left"/>
    </xf>
    <xf numFmtId="169" fontId="15" fillId="0" borderId="0" xfId="0" applyNumberFormat="1" applyFont="1" applyAlignment="1">
      <alignment horizontal="left"/>
    </xf>
    <xf numFmtId="0" fontId="5" fillId="2" borderId="7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/>
    </xf>
    <xf numFmtId="0" fontId="5" fillId="3" borderId="7" xfId="0" applyNumberFormat="1" applyFont="1" applyFill="1" applyBorder="1" applyAlignment="1">
      <alignment horizontal="center" vertical="center" wrapText="1"/>
    </xf>
    <xf numFmtId="0" fontId="5" fillId="6" borderId="7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Alignment="1">
      <alignment horizontal="right"/>
    </xf>
    <xf numFmtId="0" fontId="5" fillId="0" borderId="7" xfId="0" applyFont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/>
    </xf>
    <xf numFmtId="165" fontId="1" fillId="7" borderId="9" xfId="0" applyNumberFormat="1" applyFont="1" applyFill="1" applyBorder="1" applyAlignment="1" applyProtection="1">
      <alignment horizontal="left"/>
    </xf>
    <xf numFmtId="0" fontId="1" fillId="7" borderId="10" xfId="0" applyNumberFormat="1" applyFont="1" applyFill="1" applyBorder="1" applyAlignment="1" applyProtection="1">
      <alignment horizontal="center"/>
    </xf>
    <xf numFmtId="165" fontId="1" fillId="7" borderId="2" xfId="0" applyNumberFormat="1" applyFont="1" applyFill="1" applyBorder="1" applyAlignment="1" applyProtection="1">
      <alignment horizontal="left"/>
    </xf>
    <xf numFmtId="0" fontId="1" fillId="7" borderId="4" xfId="0" applyNumberFormat="1" applyFont="1" applyFill="1" applyBorder="1" applyAlignment="1" applyProtection="1">
      <alignment horizontal="center"/>
    </xf>
    <xf numFmtId="169" fontId="11" fillId="5" borderId="0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left"/>
    </xf>
    <xf numFmtId="0" fontId="6" fillId="7" borderId="12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left"/>
    </xf>
    <xf numFmtId="0" fontId="6" fillId="8" borderId="12" xfId="0" applyFont="1" applyFill="1" applyBorder="1" applyAlignment="1">
      <alignment horizontal="left"/>
    </xf>
    <xf numFmtId="0" fontId="6" fillId="8" borderId="13" xfId="0" applyFont="1" applyFill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 applyProtection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166" fontId="17" fillId="7" borderId="1" xfId="0" applyNumberFormat="1" applyFont="1" applyFill="1" applyBorder="1" applyAlignment="1">
      <alignment horizontal="center" vertical="center"/>
    </xf>
    <xf numFmtId="167" fontId="17" fillId="7" borderId="1" xfId="0" applyNumberFormat="1" applyFont="1" applyFill="1" applyBorder="1" applyAlignment="1">
      <alignment horizontal="center" vertical="center"/>
    </xf>
    <xf numFmtId="1" fontId="17" fillId="7" borderId="1" xfId="0" applyNumberFormat="1" applyFont="1" applyFill="1" applyBorder="1" applyAlignment="1">
      <alignment horizontal="center" vertical="center"/>
    </xf>
    <xf numFmtId="168" fontId="17" fillId="7" borderId="1" xfId="0" applyNumberFormat="1" applyFont="1" applyFill="1" applyBorder="1" applyAlignment="1">
      <alignment horizontal="center" vertical="center"/>
    </xf>
    <xf numFmtId="169" fontId="17" fillId="7" borderId="1" xfId="0" applyNumberFormat="1" applyFont="1" applyFill="1" applyBorder="1" applyAlignment="1">
      <alignment horizontal="center" vertical="center"/>
    </xf>
    <xf numFmtId="165" fontId="17" fillId="7" borderId="1" xfId="0" applyNumberFormat="1" applyFont="1" applyFill="1" applyBorder="1" applyAlignment="1" applyProtection="1">
      <alignment horizontal="center" vertical="center"/>
    </xf>
    <xf numFmtId="0" fontId="17" fillId="7" borderId="1" xfId="0" applyNumberFormat="1" applyFont="1" applyFill="1" applyBorder="1" applyAlignment="1" applyProtection="1">
      <alignment horizontal="center" vertical="center"/>
    </xf>
    <xf numFmtId="165" fontId="17" fillId="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18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5" fillId="0" borderId="23" xfId="0" applyFont="1" applyBorder="1" applyAlignment="1">
      <alignment horizontal="right" wrapText="1"/>
    </xf>
    <xf numFmtId="0" fontId="5" fillId="0" borderId="24" xfId="0" applyFont="1" applyFill="1" applyBorder="1" applyAlignment="1"/>
    <xf numFmtId="14" fontId="4" fillId="0" borderId="21" xfId="0" applyNumberFormat="1" applyFont="1" applyBorder="1" applyAlignment="1"/>
    <xf numFmtId="0" fontId="0" fillId="0" borderId="22" xfId="0" applyBorder="1"/>
    <xf numFmtId="0" fontId="4" fillId="4" borderId="21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0" fillId="0" borderId="26" xfId="0" applyBorder="1"/>
    <xf numFmtId="0" fontId="0" fillId="0" borderId="21" xfId="0" applyBorder="1"/>
    <xf numFmtId="0" fontId="4" fillId="4" borderId="27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 vertical="center"/>
    </xf>
    <xf numFmtId="21" fontId="4" fillId="0" borderId="16" xfId="0" applyNumberFormat="1" applyFont="1" applyFill="1" applyBorder="1" applyAlignment="1"/>
    <xf numFmtId="0" fontId="4" fillId="0" borderId="16" xfId="0" applyFont="1" applyFill="1" applyBorder="1" applyAlignment="1"/>
    <xf numFmtId="0" fontId="0" fillId="0" borderId="28" xfId="0" applyBorder="1"/>
    <xf numFmtId="0" fontId="7" fillId="5" borderId="30" xfId="0" applyFont="1" applyFill="1" applyBorder="1" applyAlignment="1" applyProtection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166" fontId="8" fillId="5" borderId="30" xfId="0" applyNumberFormat="1" applyFont="1" applyFill="1" applyBorder="1" applyAlignment="1">
      <alignment horizontal="center" vertical="center"/>
    </xf>
    <xf numFmtId="167" fontId="8" fillId="5" borderId="30" xfId="0" applyNumberFormat="1" applyFont="1" applyFill="1" applyBorder="1" applyAlignment="1">
      <alignment horizontal="center" vertical="center"/>
    </xf>
    <xf numFmtId="1" fontId="8" fillId="5" borderId="30" xfId="0" applyNumberFormat="1" applyFont="1" applyFill="1" applyBorder="1" applyAlignment="1">
      <alignment horizontal="center" vertical="center"/>
    </xf>
    <xf numFmtId="168" fontId="8" fillId="5" borderId="31" xfId="0" applyNumberFormat="1" applyFont="1" applyFill="1" applyBorder="1" applyAlignment="1">
      <alignment horizontal="center" vertical="center"/>
    </xf>
    <xf numFmtId="165" fontId="7" fillId="2" borderId="30" xfId="0" applyNumberFormat="1" applyFont="1" applyFill="1" applyBorder="1" applyAlignment="1" applyProtection="1">
      <alignment horizontal="center" vertical="center"/>
    </xf>
    <xf numFmtId="0" fontId="7" fillId="2" borderId="30" xfId="0" applyNumberFormat="1" applyFont="1" applyFill="1" applyBorder="1" applyAlignment="1" applyProtection="1">
      <alignment horizontal="center" vertical="center"/>
    </xf>
    <xf numFmtId="169" fontId="8" fillId="2" borderId="30" xfId="0" applyNumberFormat="1" applyFont="1" applyFill="1" applyBorder="1" applyAlignment="1">
      <alignment horizontal="center" vertical="center"/>
    </xf>
    <xf numFmtId="165" fontId="8" fillId="2" borderId="30" xfId="0" applyNumberFormat="1" applyFont="1" applyFill="1" applyBorder="1" applyAlignment="1">
      <alignment horizontal="center" vertical="center"/>
    </xf>
    <xf numFmtId="169" fontId="8" fillId="3" borderId="30" xfId="0" applyNumberFormat="1" applyFont="1" applyFill="1" applyBorder="1" applyAlignment="1">
      <alignment horizontal="center" vertical="center"/>
    </xf>
    <xf numFmtId="165" fontId="8" fillId="3" borderId="30" xfId="0" applyNumberFormat="1" applyFont="1" applyFill="1" applyBorder="1" applyAlignment="1">
      <alignment horizontal="center" vertical="center"/>
    </xf>
    <xf numFmtId="0" fontId="7" fillId="3" borderId="30" xfId="0" applyNumberFormat="1" applyFont="1" applyFill="1" applyBorder="1" applyAlignment="1" applyProtection="1">
      <alignment horizontal="center" vertical="center"/>
    </xf>
    <xf numFmtId="169" fontId="8" fillId="6" borderId="30" xfId="0" applyNumberFormat="1" applyFont="1" applyFill="1" applyBorder="1" applyAlignment="1">
      <alignment horizontal="center" vertical="center"/>
    </xf>
    <xf numFmtId="165" fontId="8" fillId="6" borderId="32" xfId="0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68" fontId="8" fillId="5" borderId="33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 applyProtection="1">
      <alignment horizontal="center" vertical="center"/>
    </xf>
    <xf numFmtId="169" fontId="8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9" fontId="8" fillId="3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165" fontId="8" fillId="6" borderId="35" xfId="0" applyNumberFormat="1" applyFont="1" applyFill="1" applyBorder="1" applyAlignment="1">
      <alignment horizontal="center" vertical="center"/>
    </xf>
    <xf numFmtId="0" fontId="7" fillId="5" borderId="36" xfId="0" applyFont="1" applyFill="1" applyBorder="1" applyAlignment="1" applyProtection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166" fontId="8" fillId="5" borderId="36" xfId="0" applyNumberFormat="1" applyFont="1" applyFill="1" applyBorder="1" applyAlignment="1">
      <alignment horizontal="center" vertical="center"/>
    </xf>
    <xf numFmtId="167" fontId="8" fillId="5" borderId="36" xfId="0" applyNumberFormat="1" applyFont="1" applyFill="1" applyBorder="1" applyAlignment="1">
      <alignment horizontal="center" vertical="center"/>
    </xf>
    <xf numFmtId="1" fontId="8" fillId="5" borderId="36" xfId="0" applyNumberFormat="1" applyFont="1" applyFill="1" applyBorder="1" applyAlignment="1">
      <alignment horizontal="center" vertical="center"/>
    </xf>
    <xf numFmtId="168" fontId="8" fillId="5" borderId="37" xfId="0" applyNumberFormat="1" applyFont="1" applyFill="1" applyBorder="1" applyAlignment="1">
      <alignment horizontal="center" vertical="center"/>
    </xf>
    <xf numFmtId="165" fontId="7" fillId="2" borderId="36" xfId="0" applyNumberFormat="1" applyFont="1" applyFill="1" applyBorder="1" applyAlignment="1" applyProtection="1">
      <alignment horizontal="center" vertical="center"/>
    </xf>
    <xf numFmtId="169" fontId="8" fillId="2" borderId="36" xfId="0" applyNumberFormat="1" applyFont="1" applyFill="1" applyBorder="1" applyAlignment="1">
      <alignment horizontal="center" vertical="center"/>
    </xf>
    <xf numFmtId="165" fontId="8" fillId="2" borderId="36" xfId="0" applyNumberFormat="1" applyFont="1" applyFill="1" applyBorder="1" applyAlignment="1">
      <alignment horizontal="center" vertical="center"/>
    </xf>
    <xf numFmtId="169" fontId="8" fillId="3" borderId="36" xfId="0" applyNumberFormat="1" applyFont="1" applyFill="1" applyBorder="1" applyAlignment="1">
      <alignment horizontal="center" vertical="center"/>
    </xf>
    <xf numFmtId="165" fontId="8" fillId="3" borderId="36" xfId="0" applyNumberFormat="1" applyFont="1" applyFill="1" applyBorder="1" applyAlignment="1">
      <alignment horizontal="center" vertical="center"/>
    </xf>
    <xf numFmtId="0" fontId="7" fillId="3" borderId="36" xfId="0" applyNumberFormat="1" applyFont="1" applyFill="1" applyBorder="1" applyAlignment="1" applyProtection="1">
      <alignment horizontal="center" vertical="center"/>
    </xf>
    <xf numFmtId="169" fontId="8" fillId="6" borderId="36" xfId="0" applyNumberFormat="1" applyFont="1" applyFill="1" applyBorder="1" applyAlignment="1">
      <alignment horizontal="center" vertical="center"/>
    </xf>
    <xf numFmtId="165" fontId="8" fillId="6" borderId="39" xfId="0" applyNumberFormat="1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0" fontId="11" fillId="5" borderId="38" xfId="0" applyFont="1" applyFill="1" applyBorder="1" applyAlignment="1">
      <alignment horizontal="center" vertical="center"/>
    </xf>
    <xf numFmtId="166" fontId="4" fillId="0" borderId="0" xfId="0" applyNumberFormat="1" applyFont="1" applyBorder="1" applyAlignment="1">
      <alignment horizontal="left" wrapText="1"/>
    </xf>
    <xf numFmtId="166" fontId="4" fillId="0" borderId="40" xfId="0" applyNumberFormat="1" applyFont="1" applyBorder="1" applyAlignment="1">
      <alignment horizontal="left" wrapText="1"/>
    </xf>
    <xf numFmtId="21" fontId="4" fillId="0" borderId="0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21" fontId="4" fillId="0" borderId="0" xfId="0" applyNumberFormat="1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21" fontId="4" fillId="0" borderId="2" xfId="0" applyNumberFormat="1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 wrapText="1"/>
    </xf>
    <xf numFmtId="21" fontId="4" fillId="0" borderId="0" xfId="0" applyNumberFormat="1" applyFont="1" applyFill="1" applyBorder="1" applyAlignment="1">
      <alignment horizontal="left" wrapText="1"/>
    </xf>
    <xf numFmtId="166" fontId="4" fillId="0" borderId="0" xfId="0" quotePrefix="1" applyNumberFormat="1" applyFont="1" applyBorder="1" applyAlignment="1">
      <alignment horizontal="left" wrapText="1"/>
    </xf>
    <xf numFmtId="165" fontId="11" fillId="5" borderId="0" xfId="0" applyNumberFormat="1" applyFont="1" applyFill="1" applyBorder="1" applyAlignment="1">
      <alignment horizontal="center" vertical="center"/>
    </xf>
    <xf numFmtId="169" fontId="4" fillId="0" borderId="0" xfId="0" applyNumberFormat="1" applyFont="1" applyBorder="1" applyAlignment="1">
      <alignment horizontal="left" wrapText="1"/>
    </xf>
    <xf numFmtId="165" fontId="4" fillId="0" borderId="0" xfId="0" applyNumberFormat="1" applyFont="1" applyBorder="1" applyAlignment="1">
      <alignment horizontal="left" wrapText="1"/>
    </xf>
    <xf numFmtId="165" fontId="4" fillId="0" borderId="0" xfId="0" applyNumberFormat="1" applyFont="1" applyFill="1" applyBorder="1" applyAlignment="1">
      <alignment horizontal="left" wrapText="1"/>
    </xf>
    <xf numFmtId="165" fontId="4" fillId="0" borderId="2" xfId="0" applyNumberFormat="1" applyFont="1" applyFill="1" applyBorder="1" applyAlignment="1">
      <alignment horizontal="left" wrapText="1"/>
    </xf>
    <xf numFmtId="0" fontId="7" fillId="2" borderId="1" xfId="0" applyNumberFormat="1" applyFont="1" applyFill="1" applyBorder="1" applyAlignment="1" applyProtection="1">
      <alignment horizontal="center" vertical="center"/>
    </xf>
    <xf numFmtId="0" fontId="7" fillId="2" borderId="36" xfId="0" applyNumberFormat="1" applyFont="1" applyFill="1" applyBorder="1" applyAlignment="1" applyProtection="1">
      <alignment horizontal="center" vertical="center"/>
    </xf>
    <xf numFmtId="0" fontId="7" fillId="2" borderId="41" xfId="0" applyNumberFormat="1" applyFont="1" applyFill="1" applyBorder="1" applyAlignment="1" applyProtection="1">
      <alignment horizontal="center" vertical="center"/>
    </xf>
    <xf numFmtId="0" fontId="7" fillId="6" borderId="34" xfId="0" applyNumberFormat="1" applyFont="1" applyFill="1" applyBorder="1" applyAlignment="1" applyProtection="1">
      <alignment horizontal="center" vertical="center"/>
    </xf>
    <xf numFmtId="0" fontId="7" fillId="6" borderId="42" xfId="0" applyNumberFormat="1" applyFont="1" applyFill="1" applyBorder="1" applyAlignment="1" applyProtection="1">
      <alignment horizontal="center" vertical="center"/>
    </xf>
    <xf numFmtId="0" fontId="7" fillId="6" borderId="38" xfId="0" applyNumberFormat="1" applyFont="1" applyFill="1" applyBorder="1" applyAlignment="1" applyProtection="1">
      <alignment horizontal="center" vertical="center"/>
    </xf>
    <xf numFmtId="0" fontId="7" fillId="5" borderId="41" xfId="0" applyFont="1" applyFill="1" applyBorder="1" applyAlignment="1" applyProtection="1">
      <alignment horizontal="center" vertical="center"/>
    </xf>
    <xf numFmtId="0" fontId="11" fillId="5" borderId="42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166" fontId="8" fillId="5" borderId="41" xfId="0" applyNumberFormat="1" applyFont="1" applyFill="1" applyBorder="1" applyAlignment="1">
      <alignment horizontal="center" vertical="center"/>
    </xf>
    <xf numFmtId="167" fontId="8" fillId="5" borderId="41" xfId="0" applyNumberFormat="1" applyFont="1" applyFill="1" applyBorder="1" applyAlignment="1">
      <alignment horizontal="center" vertical="center"/>
    </xf>
    <xf numFmtId="1" fontId="8" fillId="5" borderId="41" xfId="0" applyNumberFormat="1" applyFont="1" applyFill="1" applyBorder="1" applyAlignment="1">
      <alignment horizontal="center" vertical="center"/>
    </xf>
    <xf numFmtId="168" fontId="8" fillId="5" borderId="44" xfId="0" applyNumberFormat="1" applyFont="1" applyFill="1" applyBorder="1" applyAlignment="1">
      <alignment horizontal="center" vertical="center"/>
    </xf>
    <xf numFmtId="165" fontId="7" fillId="2" borderId="41" xfId="0" applyNumberFormat="1" applyFont="1" applyFill="1" applyBorder="1" applyAlignment="1" applyProtection="1">
      <alignment horizontal="center" vertical="center"/>
    </xf>
    <xf numFmtId="169" fontId="8" fillId="2" borderId="41" xfId="0" applyNumberFormat="1" applyFont="1" applyFill="1" applyBorder="1" applyAlignment="1">
      <alignment horizontal="center" vertical="center"/>
    </xf>
    <xf numFmtId="165" fontId="8" fillId="2" borderId="41" xfId="0" applyNumberFormat="1" applyFont="1" applyFill="1" applyBorder="1" applyAlignment="1">
      <alignment horizontal="center" vertical="center"/>
    </xf>
    <xf numFmtId="169" fontId="8" fillId="3" borderId="41" xfId="0" applyNumberFormat="1" applyFont="1" applyFill="1" applyBorder="1" applyAlignment="1">
      <alignment horizontal="center" vertical="center"/>
    </xf>
    <xf numFmtId="165" fontId="8" fillId="3" borderId="41" xfId="0" applyNumberFormat="1" applyFont="1" applyFill="1" applyBorder="1" applyAlignment="1">
      <alignment horizontal="center" vertical="center"/>
    </xf>
    <xf numFmtId="0" fontId="7" fillId="3" borderId="41" xfId="0" applyNumberFormat="1" applyFont="1" applyFill="1" applyBorder="1" applyAlignment="1" applyProtection="1">
      <alignment horizontal="center" vertical="center"/>
    </xf>
    <xf numFmtId="169" fontId="8" fillId="6" borderId="41" xfId="0" applyNumberFormat="1" applyFont="1" applyFill="1" applyBorder="1" applyAlignment="1">
      <alignment horizontal="center" vertical="center"/>
    </xf>
    <xf numFmtId="165" fontId="8" fillId="6" borderId="45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 applyProtection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166" fontId="8" fillId="5" borderId="7" xfId="0" applyNumberFormat="1" applyFont="1" applyFill="1" applyBorder="1" applyAlignment="1">
      <alignment horizontal="center" vertical="center"/>
    </xf>
    <xf numFmtId="167" fontId="8" fillId="5" borderId="7" xfId="0" applyNumberFormat="1" applyFont="1" applyFill="1" applyBorder="1" applyAlignment="1">
      <alignment horizontal="center" vertical="center"/>
    </xf>
    <xf numFmtId="1" fontId="8" fillId="5" borderId="7" xfId="0" applyNumberFormat="1" applyFont="1" applyFill="1" applyBorder="1" applyAlignment="1">
      <alignment horizontal="center" vertical="center"/>
    </xf>
    <xf numFmtId="168" fontId="8" fillId="5" borderId="47" xfId="0" applyNumberFormat="1" applyFont="1" applyFill="1" applyBorder="1" applyAlignment="1">
      <alignment horizontal="center" vertical="center"/>
    </xf>
    <xf numFmtId="169" fontId="8" fillId="3" borderId="7" xfId="0" applyNumberFormat="1" applyFont="1" applyFill="1" applyBorder="1" applyAlignment="1">
      <alignment horizontal="center" vertical="center"/>
    </xf>
    <xf numFmtId="165" fontId="8" fillId="3" borderId="7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 applyProtection="1">
      <alignment horizontal="center" vertical="center"/>
    </xf>
    <xf numFmtId="165" fontId="8" fillId="6" borderId="48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4" fontId="5" fillId="5" borderId="0" xfId="0" applyNumberFormat="1" applyFont="1" applyFill="1" applyBorder="1" applyAlignment="1">
      <alignment horizontal="center" vertical="center"/>
    </xf>
    <xf numFmtId="166" fontId="5" fillId="5" borderId="0" xfId="0" applyNumberFormat="1" applyFont="1" applyFill="1" applyBorder="1" applyAlignment="1">
      <alignment horizontal="center" vertical="center"/>
    </xf>
    <xf numFmtId="167" fontId="5" fillId="5" borderId="0" xfId="1" applyNumberFormat="1" applyFont="1" applyFill="1" applyBorder="1" applyAlignment="1">
      <alignment horizontal="center" vertical="center"/>
    </xf>
    <xf numFmtId="1" fontId="5" fillId="5" borderId="0" xfId="0" applyNumberFormat="1" applyFont="1" applyFill="1" applyBorder="1" applyAlignment="1">
      <alignment horizontal="center" vertical="center"/>
    </xf>
    <xf numFmtId="168" fontId="5" fillId="5" borderId="0" xfId="0" applyNumberFormat="1" applyFont="1" applyFill="1" applyBorder="1" applyAlignment="1">
      <alignment horizontal="center" vertical="center"/>
    </xf>
    <xf numFmtId="169" fontId="5" fillId="2" borderId="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169" fontId="5" fillId="3" borderId="0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169" fontId="5" fillId="6" borderId="0" xfId="0" applyNumberFormat="1" applyFont="1" applyFill="1" applyBorder="1" applyAlignment="1">
      <alignment horizontal="center" vertical="center"/>
    </xf>
    <xf numFmtId="165" fontId="5" fillId="6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8" fillId="5" borderId="33" xfId="0" applyNumberFormat="1" applyFont="1" applyFill="1" applyBorder="1" applyAlignment="1">
      <alignment horizontal="center" vertical="center"/>
    </xf>
    <xf numFmtId="1" fontId="8" fillId="5" borderId="37" xfId="0" applyNumberFormat="1" applyFont="1" applyFill="1" applyBorder="1" applyAlignment="1">
      <alignment horizontal="center" vertical="center"/>
    </xf>
    <xf numFmtId="1" fontId="8" fillId="5" borderId="31" xfId="0" applyNumberFormat="1" applyFont="1" applyFill="1" applyBorder="1" applyAlignment="1">
      <alignment horizontal="center" vertical="center"/>
    </xf>
    <xf numFmtId="1" fontId="8" fillId="5" borderId="47" xfId="0" applyNumberFormat="1" applyFont="1" applyFill="1" applyBorder="1" applyAlignment="1">
      <alignment horizontal="center" vertical="center"/>
    </xf>
    <xf numFmtId="1" fontId="8" fillId="5" borderId="44" xfId="0" applyNumberFormat="1" applyFont="1" applyFill="1" applyBorder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/>
    </xf>
    <xf numFmtId="0" fontId="5" fillId="6" borderId="7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7" fillId="7" borderId="3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8" fillId="0" borderId="46" xfId="0" applyFont="1" applyBorder="1" applyAlignment="1">
      <alignment horizontal="left" vertical="center"/>
    </xf>
    <xf numFmtId="0" fontId="8" fillId="0" borderId="49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14" fontId="8" fillId="2" borderId="34" xfId="0" applyNumberFormat="1" applyFont="1" applyFill="1" applyBorder="1" applyAlignment="1">
      <alignment horizontal="center" vertical="center"/>
    </xf>
    <xf numFmtId="14" fontId="8" fillId="2" borderId="38" xfId="0" applyNumberFormat="1" applyFont="1" applyFill="1" applyBorder="1" applyAlignment="1">
      <alignment horizontal="center" vertical="center"/>
    </xf>
    <xf numFmtId="14" fontId="8" fillId="2" borderId="29" xfId="0" applyNumberFormat="1" applyFont="1" applyFill="1" applyBorder="1" applyAlignment="1">
      <alignment horizontal="center" vertical="center"/>
    </xf>
    <xf numFmtId="14" fontId="8" fillId="2" borderId="42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1" fillId="7" borderId="8" xfId="0" applyNumberFormat="1" applyFont="1" applyFill="1" applyBorder="1" applyAlignment="1" applyProtection="1">
      <alignment horizontal="center"/>
    </xf>
    <xf numFmtId="14" fontId="1" fillId="7" borderId="3" xfId="0" applyNumberFormat="1" applyFont="1" applyFill="1" applyBorder="1" applyAlignment="1" applyProtection="1">
      <alignment horizontal="center"/>
    </xf>
    <xf numFmtId="14" fontId="6" fillId="0" borderId="0" xfId="0" applyNumberFormat="1" applyFont="1" applyAlignment="1">
      <alignment horizontal="left"/>
    </xf>
    <xf numFmtId="14" fontId="5" fillId="2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17" fillId="7" borderId="1" xfId="0" applyFont="1" applyFill="1" applyBorder="1" applyAlignment="1" applyProtection="1">
      <alignment horizontal="center" vertical="center"/>
      <protection locked="0"/>
    </xf>
    <xf numFmtId="0" fontId="6" fillId="8" borderId="0" xfId="0" applyFont="1" applyFill="1" applyAlignment="1">
      <alignment horizontal="left"/>
    </xf>
    <xf numFmtId="0" fontId="8" fillId="9" borderId="1" xfId="0" applyFont="1" applyFill="1" applyBorder="1" applyAlignment="1">
      <alignment horizontal="center" vertical="center"/>
    </xf>
    <xf numFmtId="21" fontId="4" fillId="0" borderId="0" xfId="0" applyNumberFormat="1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166" fontId="4" fillId="0" borderId="0" xfId="0" applyNumberFormat="1" applyFont="1" applyBorder="1" applyAlignment="1">
      <alignment horizontal="left" wrapText="1"/>
    </xf>
    <xf numFmtId="166" fontId="4" fillId="0" borderId="40" xfId="0" applyNumberFormat="1" applyFont="1" applyBorder="1" applyAlignment="1">
      <alignment horizontal="left" wrapText="1"/>
    </xf>
  </cellXfs>
  <cellStyles count="1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Normal" xfId="0" builtinId="0"/>
    <cellStyle name="Normal 2" xfId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BD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opLeftCell="B1" zoomScale="130" zoomScaleNormal="130" zoomScalePageLayoutView="110" workbookViewId="0">
      <pane xSplit="2" topLeftCell="D1" activePane="topRight" state="frozen"/>
      <selection activeCell="B1" sqref="B1"/>
      <selection pane="topRight" activeCell="AK14" sqref="AK14"/>
    </sheetView>
  </sheetViews>
  <sheetFormatPr defaultColWidth="12.140625" defaultRowHeight="12.75" x14ac:dyDescent="0.2"/>
  <cols>
    <col min="1" max="1" width="15.140625" style="50" hidden="1" customWidth="1"/>
    <col min="2" max="2" width="18" style="51" customWidth="1"/>
    <col min="3" max="3" width="14.28515625" style="51" bestFit="1" customWidth="1"/>
    <col min="4" max="4" width="14.28515625" style="51" customWidth="1"/>
    <col min="5" max="5" width="17.7109375" style="52" customWidth="1"/>
    <col min="6" max="6" width="14.85546875" style="52" customWidth="1"/>
    <col min="7" max="7" width="9.28515625" style="51" bestFit="1" customWidth="1"/>
    <col min="8" max="8" width="8.28515625" style="51" bestFit="1" customWidth="1"/>
    <col min="9" max="9" width="11.28515625" style="51" bestFit="1" customWidth="1"/>
    <col min="10" max="10" width="10.28515625" style="51" bestFit="1" customWidth="1"/>
    <col min="11" max="11" width="13.140625" style="51" customWidth="1"/>
    <col min="12" max="12" width="10" style="51" bestFit="1" customWidth="1"/>
    <col min="13" max="13" width="13.28515625" style="51" bestFit="1" customWidth="1"/>
    <col min="14" max="14" width="8.7109375" style="51" customWidth="1"/>
    <col min="15" max="15" width="13.42578125" style="54" customWidth="1"/>
    <col min="16" max="16" width="13.7109375" style="54" customWidth="1"/>
    <col min="17" max="17" width="11" style="54" bestFit="1" customWidth="1"/>
    <col min="18" max="18" width="14.85546875" style="55" customWidth="1"/>
    <col min="19" max="19" width="19" style="56" customWidth="1"/>
    <col min="20" max="20" width="10.5703125" style="56" bestFit="1" customWidth="1"/>
    <col min="21" max="21" width="14.85546875" style="57" customWidth="1"/>
    <col min="22" max="22" width="14.28515625" style="247" customWidth="1"/>
    <col min="23" max="23" width="18.140625" style="58" customWidth="1"/>
    <col min="24" max="24" width="11.7109375" style="70" bestFit="1" customWidth="1"/>
    <col min="25" max="25" width="23.85546875" style="59" customWidth="1"/>
    <col min="26" max="26" width="12" style="58" bestFit="1" customWidth="1"/>
    <col min="27" max="27" width="7.5703125" style="70" bestFit="1" customWidth="1"/>
    <col min="28" max="28" width="20.140625" style="59" customWidth="1"/>
    <col min="29" max="29" width="12" style="58" bestFit="1" customWidth="1"/>
    <col min="30" max="30" width="10.85546875" style="70" bestFit="1" customWidth="1"/>
    <col min="31" max="31" width="18" style="59" customWidth="1"/>
    <col min="32" max="32" width="18.42578125" style="58" customWidth="1"/>
    <col min="33" max="33" width="7.7109375" style="70" bestFit="1" customWidth="1"/>
    <col min="34" max="34" width="14.140625" style="59" customWidth="1"/>
    <col min="35" max="35" width="13.42578125" style="58" customWidth="1"/>
    <col min="36" max="36" width="7.5703125" style="70" bestFit="1" customWidth="1"/>
    <col min="37" max="37" width="76.140625" style="236" bestFit="1" customWidth="1"/>
    <col min="38" max="38" width="52.28515625" style="252" bestFit="1" customWidth="1"/>
    <col min="39" max="16384" width="12.140625" style="51"/>
  </cols>
  <sheetData>
    <row r="1" spans="1:39" ht="13.5" thickBot="1" x14ac:dyDescent="0.25"/>
    <row r="2" spans="1:39" ht="18.75" thickBot="1" x14ac:dyDescent="0.3">
      <c r="D2" s="21"/>
      <c r="E2" s="21" t="s">
        <v>69</v>
      </c>
      <c r="F2" s="90" t="s">
        <v>132</v>
      </c>
      <c r="G2" s="20"/>
      <c r="H2" s="53"/>
      <c r="K2" s="82" t="s">
        <v>75</v>
      </c>
      <c r="L2" s="83"/>
      <c r="M2" s="83"/>
      <c r="N2" s="84"/>
      <c r="O2" s="84"/>
      <c r="P2" s="85"/>
      <c r="V2" s="248" t="str">
        <f>TEXT(MIN(V10:V105),"yyyymmdd")</f>
        <v>20180711</v>
      </c>
      <c r="W2" s="76" t="s">
        <v>55</v>
      </c>
      <c r="X2" s="77"/>
    </row>
    <row r="3" spans="1:39" ht="21" customHeight="1" thickBot="1" x14ac:dyDescent="0.3">
      <c r="D3" s="21"/>
      <c r="E3" s="21" t="s">
        <v>70</v>
      </c>
      <c r="F3" s="65">
        <v>1</v>
      </c>
      <c r="G3" s="20"/>
      <c r="H3" s="20"/>
      <c r="K3" s="86" t="s">
        <v>77</v>
      </c>
      <c r="L3" s="87"/>
      <c r="M3" s="87"/>
      <c r="N3" s="87"/>
      <c r="O3" s="87"/>
      <c r="P3" s="88"/>
      <c r="Q3" s="20"/>
      <c r="R3" s="20"/>
      <c r="S3" s="60"/>
      <c r="T3" s="60"/>
      <c r="U3" s="61"/>
      <c r="V3" s="249" t="str">
        <f>RIGHT("00"&amp;$F$3,2)</f>
        <v>01</v>
      </c>
      <c r="W3" s="78" t="s">
        <v>67</v>
      </c>
      <c r="X3" s="79"/>
    </row>
    <row r="4" spans="1:39" ht="20.25" customHeight="1" x14ac:dyDescent="0.25">
      <c r="C4" s="21"/>
      <c r="D4" s="21"/>
      <c r="E4" s="21" t="s">
        <v>76</v>
      </c>
      <c r="F4" s="89" t="s">
        <v>133</v>
      </c>
      <c r="G4" s="53"/>
      <c r="H4" s="20"/>
      <c r="I4" s="21" t="s">
        <v>123</v>
      </c>
      <c r="J4" s="255" t="s">
        <v>133</v>
      </c>
      <c r="K4" s="20"/>
      <c r="L4" s="20"/>
      <c r="M4" s="20"/>
      <c r="N4" s="20"/>
      <c r="O4" s="20"/>
      <c r="P4" s="20"/>
      <c r="Q4" s="20"/>
      <c r="R4" s="63" t="s">
        <v>40</v>
      </c>
      <c r="S4" s="64" t="s">
        <v>41</v>
      </c>
      <c r="T4" s="64"/>
      <c r="U4" s="61"/>
      <c r="V4" s="250"/>
      <c r="X4" s="73" t="s">
        <v>49</v>
      </c>
      <c r="Y4" s="68" t="s">
        <v>72</v>
      </c>
      <c r="AB4" s="68" t="s">
        <v>73</v>
      </c>
    </row>
    <row r="5" spans="1:39" ht="15.75" customHeight="1" x14ac:dyDescent="0.25">
      <c r="B5" s="62" t="s">
        <v>38</v>
      </c>
      <c r="C5" s="13" t="s">
        <v>56</v>
      </c>
      <c r="D5" s="13"/>
      <c r="F5" s="20"/>
      <c r="H5" s="20"/>
      <c r="I5" s="20"/>
      <c r="J5" s="20"/>
      <c r="K5" s="20"/>
      <c r="L5" s="20"/>
      <c r="M5" s="62" t="s">
        <v>39</v>
      </c>
      <c r="N5" s="13" t="s">
        <v>46</v>
      </c>
      <c r="P5" s="20"/>
      <c r="Q5" s="20"/>
      <c r="S5" s="64" t="s">
        <v>122</v>
      </c>
      <c r="T5" s="64"/>
      <c r="U5" s="61"/>
      <c r="V5" s="250"/>
      <c r="Y5" s="67" t="s">
        <v>51</v>
      </c>
    </row>
    <row r="6" spans="1:39" ht="15.75" customHeight="1" x14ac:dyDescent="0.25">
      <c r="C6" s="13" t="s">
        <v>44</v>
      </c>
      <c r="D6" s="13"/>
      <c r="F6" s="20"/>
      <c r="G6" s="53"/>
      <c r="H6" s="20"/>
      <c r="I6" s="20"/>
      <c r="J6" s="20"/>
      <c r="K6" s="20"/>
      <c r="L6" s="20"/>
      <c r="N6" s="13" t="s">
        <v>47</v>
      </c>
      <c r="P6" s="20"/>
      <c r="Q6" s="20"/>
      <c r="S6" s="64" t="s">
        <v>42</v>
      </c>
      <c r="T6" s="64"/>
      <c r="U6" s="61"/>
      <c r="V6" s="250"/>
      <c r="Y6" s="67" t="s">
        <v>50</v>
      </c>
    </row>
    <row r="7" spans="1:39" ht="16.5" customHeight="1" x14ac:dyDescent="0.25">
      <c r="C7" s="13" t="s">
        <v>45</v>
      </c>
      <c r="D7" s="13"/>
      <c r="E7" s="53"/>
      <c r="F7" s="53"/>
      <c r="G7" s="53"/>
      <c r="H7" s="53"/>
      <c r="I7" s="53"/>
      <c r="J7" s="53"/>
      <c r="K7" s="53"/>
      <c r="S7" s="64" t="s">
        <v>43</v>
      </c>
      <c r="T7" s="64"/>
      <c r="Y7" s="67" t="s">
        <v>52</v>
      </c>
    </row>
    <row r="8" spans="1:39" s="1" customFormat="1" ht="77.25" customHeight="1" x14ac:dyDescent="0.2">
      <c r="A8" s="37" t="s">
        <v>22</v>
      </c>
      <c r="B8" s="37" t="s">
        <v>29</v>
      </c>
      <c r="C8" s="37" t="s">
        <v>17</v>
      </c>
      <c r="D8" s="37" t="s">
        <v>57</v>
      </c>
      <c r="E8" s="37" t="s">
        <v>53</v>
      </c>
      <c r="F8" s="37" t="s">
        <v>54</v>
      </c>
      <c r="G8" s="38" t="s">
        <v>48</v>
      </c>
      <c r="H8" s="38" t="s">
        <v>30</v>
      </c>
      <c r="I8" s="38" t="s">
        <v>66</v>
      </c>
      <c r="J8" s="38" t="s">
        <v>64</v>
      </c>
      <c r="K8" s="38" t="s">
        <v>65</v>
      </c>
      <c r="L8" s="38" t="s">
        <v>31</v>
      </c>
      <c r="M8" s="38" t="s">
        <v>32</v>
      </c>
      <c r="N8" s="38" t="s">
        <v>33</v>
      </c>
      <c r="O8" s="39" t="s">
        <v>35</v>
      </c>
      <c r="P8" s="39" t="s">
        <v>34</v>
      </c>
      <c r="Q8" s="40" t="s">
        <v>36</v>
      </c>
      <c r="R8" s="40" t="s">
        <v>37</v>
      </c>
      <c r="S8" s="41" t="s">
        <v>19</v>
      </c>
      <c r="T8" s="41" t="s">
        <v>99</v>
      </c>
      <c r="U8" s="42" t="s">
        <v>20</v>
      </c>
      <c r="V8" s="251" t="s">
        <v>1</v>
      </c>
      <c r="W8" s="46" t="s">
        <v>14</v>
      </c>
      <c r="X8" s="69" t="s">
        <v>59</v>
      </c>
      <c r="Y8" s="45" t="s">
        <v>0</v>
      </c>
      <c r="Z8" s="46" t="s">
        <v>13</v>
      </c>
      <c r="AA8" s="69" t="s">
        <v>60</v>
      </c>
      <c r="AB8" s="66" t="s">
        <v>10</v>
      </c>
      <c r="AC8" s="47" t="s">
        <v>18</v>
      </c>
      <c r="AD8" s="71" t="s">
        <v>61</v>
      </c>
      <c r="AE8" s="66" t="s">
        <v>11</v>
      </c>
      <c r="AF8" s="47" t="s">
        <v>12</v>
      </c>
      <c r="AG8" s="71" t="s">
        <v>63</v>
      </c>
      <c r="AH8" s="48" t="s">
        <v>15</v>
      </c>
      <c r="AI8" s="49" t="s">
        <v>16</v>
      </c>
      <c r="AJ8" s="72" t="s">
        <v>62</v>
      </c>
      <c r="AK8" s="74" t="s">
        <v>2</v>
      </c>
      <c r="AL8" s="253" t="s">
        <v>21</v>
      </c>
    </row>
    <row r="9" spans="1:39" s="102" customFormat="1" ht="15.75" customHeight="1" thickBot="1" x14ac:dyDescent="0.25">
      <c r="A9" s="91" t="s">
        <v>71</v>
      </c>
      <c r="B9" s="92" t="s">
        <v>56</v>
      </c>
      <c r="C9" s="92">
        <v>999</v>
      </c>
      <c r="D9" s="92" t="s">
        <v>58</v>
      </c>
      <c r="E9" s="93">
        <v>9902</v>
      </c>
      <c r="F9" s="93">
        <v>9904</v>
      </c>
      <c r="G9" s="92" t="s">
        <v>78</v>
      </c>
      <c r="H9" s="92">
        <v>2</v>
      </c>
      <c r="I9" s="92">
        <v>2000</v>
      </c>
      <c r="J9" s="92">
        <v>10</v>
      </c>
      <c r="K9" s="92">
        <v>800</v>
      </c>
      <c r="L9" s="92">
        <v>23.5</v>
      </c>
      <c r="M9" s="92">
        <v>0</v>
      </c>
      <c r="N9" s="92">
        <v>0</v>
      </c>
      <c r="O9" s="94">
        <v>41.249899999999997</v>
      </c>
      <c r="P9" s="94">
        <v>-70.389499999999998</v>
      </c>
      <c r="Q9" s="95">
        <v>14</v>
      </c>
      <c r="R9" s="95" t="s">
        <v>68</v>
      </c>
      <c r="S9" s="96">
        <v>128045</v>
      </c>
      <c r="T9" s="96" t="s">
        <v>80</v>
      </c>
      <c r="U9" s="97">
        <v>151.81800000000001</v>
      </c>
      <c r="V9" s="98">
        <v>42355</v>
      </c>
      <c r="W9" s="99">
        <v>0.63665509259259256</v>
      </c>
      <c r="X9" s="100">
        <v>0</v>
      </c>
      <c r="Y9" s="98">
        <v>42355</v>
      </c>
      <c r="Z9" s="101">
        <v>0.5541666666666667</v>
      </c>
      <c r="AA9" s="100">
        <v>0</v>
      </c>
      <c r="AB9" s="98">
        <v>42522</v>
      </c>
      <c r="AC9" s="101">
        <v>0.37152777777777773</v>
      </c>
      <c r="AD9" s="100">
        <v>0</v>
      </c>
      <c r="AE9" s="98">
        <v>42522</v>
      </c>
      <c r="AF9" s="101">
        <v>0.58680555555555558</v>
      </c>
      <c r="AG9" s="100">
        <v>0</v>
      </c>
      <c r="AH9" s="98">
        <v>42623</v>
      </c>
      <c r="AI9" s="101">
        <v>0.67796296296296299</v>
      </c>
      <c r="AJ9" s="100">
        <v>0</v>
      </c>
      <c r="AK9" s="237" t="s">
        <v>74</v>
      </c>
      <c r="AL9" s="254" t="str">
        <f t="shared" ref="AL9:AL37" si="0">$F$2&amp;"_Dep"&amp;$V$3&amp;"_"&amp;$V$2</f>
        <v>2018_UnivMD_Maryland_86896_Dep01_20180711</v>
      </c>
    </row>
    <row r="10" spans="1:39" s="2" customFormat="1" ht="15.75" customHeight="1" x14ac:dyDescent="0.2">
      <c r="A10" s="163" t="s">
        <v>128</v>
      </c>
      <c r="B10" s="12" t="s">
        <v>56</v>
      </c>
      <c r="C10" s="12">
        <v>168</v>
      </c>
      <c r="D10" s="12" t="s">
        <v>58</v>
      </c>
      <c r="E10" s="43">
        <v>3164</v>
      </c>
      <c r="F10" s="256"/>
      <c r="G10" s="12" t="s">
        <v>125</v>
      </c>
      <c r="H10" s="12">
        <v>16</v>
      </c>
      <c r="I10" s="12">
        <v>16000</v>
      </c>
      <c r="J10" s="12">
        <v>10</v>
      </c>
      <c r="K10" s="12">
        <v>6400</v>
      </c>
      <c r="L10" s="12">
        <v>23.5</v>
      </c>
      <c r="M10" s="12">
        <v>0</v>
      </c>
      <c r="N10" s="12">
        <v>0</v>
      </c>
      <c r="O10" s="5">
        <v>38.370310000000003</v>
      </c>
      <c r="P10" s="5">
        <v>-74.753839999999997</v>
      </c>
      <c r="Q10" s="140">
        <v>27</v>
      </c>
      <c r="R10" s="140" t="s">
        <v>129</v>
      </c>
      <c r="S10" s="15">
        <v>134121</v>
      </c>
      <c r="T10" s="227"/>
      <c r="U10" s="141"/>
      <c r="V10" s="143">
        <v>43292</v>
      </c>
      <c r="W10" s="142">
        <v>0.52575231481481477</v>
      </c>
      <c r="X10" s="180">
        <v>0</v>
      </c>
      <c r="Y10" s="143">
        <v>43293</v>
      </c>
      <c r="Z10" s="144">
        <v>0.7104166666666667</v>
      </c>
      <c r="AA10" s="180">
        <v>0</v>
      </c>
      <c r="AB10" s="145">
        <v>43333</v>
      </c>
      <c r="AC10" s="146">
        <v>0.52916666666666667</v>
      </c>
      <c r="AD10" s="147">
        <v>0</v>
      </c>
      <c r="AE10" s="145"/>
      <c r="AF10" s="146"/>
      <c r="AG10" s="147"/>
      <c r="AH10" s="35">
        <v>43388</v>
      </c>
      <c r="AI10" s="148">
        <v>0.55084490740740744</v>
      </c>
      <c r="AJ10" s="183">
        <v>0</v>
      </c>
      <c r="AK10" s="238"/>
      <c r="AL10" s="254" t="str">
        <f t="shared" si="0"/>
        <v>2018_UnivMD_Maryland_86896_Dep01_20180711</v>
      </c>
      <c r="AM10" s="44"/>
    </row>
    <row r="11" spans="1:39" s="2" customFormat="1" ht="15.75" customHeight="1" x14ac:dyDescent="0.2">
      <c r="A11" s="163" t="s">
        <v>128</v>
      </c>
      <c r="B11" s="12" t="s">
        <v>56</v>
      </c>
      <c r="C11" s="12">
        <v>89</v>
      </c>
      <c r="D11" s="12" t="s">
        <v>58</v>
      </c>
      <c r="E11" s="43">
        <v>3156</v>
      </c>
      <c r="F11" s="256"/>
      <c r="G11" s="12" t="s">
        <v>126</v>
      </c>
      <c r="H11" s="12">
        <v>16</v>
      </c>
      <c r="I11" s="12">
        <v>16000</v>
      </c>
      <c r="J11" s="12">
        <v>10</v>
      </c>
      <c r="K11" s="12">
        <v>6400</v>
      </c>
      <c r="L11" s="12">
        <v>23.5</v>
      </c>
      <c r="M11" s="12">
        <v>0</v>
      </c>
      <c r="N11" s="12">
        <v>0</v>
      </c>
      <c r="O11" s="5">
        <v>38.353050000000003</v>
      </c>
      <c r="P11" s="5">
        <v>-74.730900000000005</v>
      </c>
      <c r="Q11" s="140">
        <v>27</v>
      </c>
      <c r="R11" s="140" t="s">
        <v>129</v>
      </c>
      <c r="S11" s="15">
        <v>134136</v>
      </c>
      <c r="T11" s="227"/>
      <c r="U11" s="141"/>
      <c r="V11" s="143">
        <v>43292</v>
      </c>
      <c r="W11" s="142">
        <v>0.53015046296296298</v>
      </c>
      <c r="X11" s="180">
        <v>0</v>
      </c>
      <c r="Y11" s="143">
        <v>43293</v>
      </c>
      <c r="Z11" s="144">
        <v>0.71805555555555556</v>
      </c>
      <c r="AA11" s="180">
        <v>0</v>
      </c>
      <c r="AB11" s="145">
        <v>43333</v>
      </c>
      <c r="AC11" s="146">
        <v>0.55277777777777781</v>
      </c>
      <c r="AD11" s="147">
        <v>0</v>
      </c>
      <c r="AE11" s="145"/>
      <c r="AF11" s="146"/>
      <c r="AG11" s="147"/>
      <c r="AH11" s="35">
        <v>43388</v>
      </c>
      <c r="AI11" s="148">
        <v>0.59321759259259255</v>
      </c>
      <c r="AJ11" s="183">
        <v>0</v>
      </c>
      <c r="AK11" s="238" t="s">
        <v>136</v>
      </c>
      <c r="AL11" s="254" t="str">
        <f t="shared" si="0"/>
        <v>2018_UnivMD_Maryland_86896_Dep01_20180711</v>
      </c>
      <c r="AM11" s="44"/>
    </row>
    <row r="12" spans="1:39" s="2" customFormat="1" ht="15.75" customHeight="1" x14ac:dyDescent="0.2">
      <c r="A12" s="163" t="s">
        <v>128</v>
      </c>
      <c r="B12" s="12" t="s">
        <v>56</v>
      </c>
      <c r="C12" s="12">
        <v>188</v>
      </c>
      <c r="D12" s="12" t="s">
        <v>58</v>
      </c>
      <c r="E12" s="43">
        <v>3168</v>
      </c>
      <c r="F12" s="256"/>
      <c r="G12" s="12" t="s">
        <v>124</v>
      </c>
      <c r="H12" s="12">
        <v>16</v>
      </c>
      <c r="I12" s="12">
        <v>16000</v>
      </c>
      <c r="J12" s="12">
        <v>10</v>
      </c>
      <c r="K12" s="12">
        <v>6400</v>
      </c>
      <c r="L12" s="12">
        <v>23.5</v>
      </c>
      <c r="M12" s="12">
        <v>0</v>
      </c>
      <c r="N12" s="12">
        <v>0</v>
      </c>
      <c r="O12" s="5">
        <v>38.334519999999998</v>
      </c>
      <c r="P12" s="5">
        <v>-74.753690000000006</v>
      </c>
      <c r="Q12" s="140">
        <v>25</v>
      </c>
      <c r="R12" s="140" t="s">
        <v>129</v>
      </c>
      <c r="S12" s="15">
        <v>134126</v>
      </c>
      <c r="T12" s="227"/>
      <c r="U12" s="141"/>
      <c r="V12" s="143">
        <v>43292</v>
      </c>
      <c r="W12" s="142">
        <v>0.53385416666666663</v>
      </c>
      <c r="X12" s="180">
        <v>0</v>
      </c>
      <c r="Y12" s="143">
        <v>43293</v>
      </c>
      <c r="Z12" s="144">
        <v>0.6958333333333333</v>
      </c>
      <c r="AA12" s="180">
        <v>0</v>
      </c>
      <c r="AB12" s="145">
        <v>43333</v>
      </c>
      <c r="AC12" s="146">
        <v>0.48125000000000001</v>
      </c>
      <c r="AD12" s="147">
        <v>0</v>
      </c>
      <c r="AE12" s="145"/>
      <c r="AF12" s="146"/>
      <c r="AG12" s="147"/>
      <c r="AH12" s="35">
        <v>43388</v>
      </c>
      <c r="AI12" s="148">
        <v>0.63559027777777777</v>
      </c>
      <c r="AJ12" s="183">
        <v>0</v>
      </c>
      <c r="AK12" s="238" t="s">
        <v>134</v>
      </c>
      <c r="AL12" s="254" t="str">
        <f t="shared" si="0"/>
        <v>2018_UnivMD_Maryland_86896_Dep01_20180711</v>
      </c>
      <c r="AM12" s="44"/>
    </row>
    <row r="13" spans="1:39" s="2" customFormat="1" ht="15.75" customHeight="1" x14ac:dyDescent="0.2">
      <c r="A13" s="163" t="s">
        <v>128</v>
      </c>
      <c r="B13" s="12" t="s">
        <v>56</v>
      </c>
      <c r="C13" s="12">
        <v>142</v>
      </c>
      <c r="D13" s="12" t="s">
        <v>58</v>
      </c>
      <c r="E13" s="43">
        <v>3104</v>
      </c>
      <c r="F13" s="256"/>
      <c r="G13" s="12" t="s">
        <v>127</v>
      </c>
      <c r="H13" s="12">
        <v>16</v>
      </c>
      <c r="I13" s="12">
        <v>16000</v>
      </c>
      <c r="J13" s="12">
        <v>10</v>
      </c>
      <c r="K13" s="12">
        <v>6400</v>
      </c>
      <c r="L13" s="12">
        <v>23.5</v>
      </c>
      <c r="M13" s="12">
        <v>0</v>
      </c>
      <c r="N13" s="12">
        <v>0</v>
      </c>
      <c r="O13" s="5">
        <v>38.352789999999999</v>
      </c>
      <c r="P13" s="5">
        <v>-74.776349999999994</v>
      </c>
      <c r="Q13" s="140">
        <v>28</v>
      </c>
      <c r="R13" s="140" t="s">
        <v>129</v>
      </c>
      <c r="S13" s="15">
        <v>134132</v>
      </c>
      <c r="T13" s="227"/>
      <c r="U13" s="141"/>
      <c r="V13" s="143">
        <v>43292</v>
      </c>
      <c r="W13" s="142">
        <v>0.52060185185185182</v>
      </c>
      <c r="X13" s="180">
        <v>0</v>
      </c>
      <c r="Y13" s="143">
        <v>43293</v>
      </c>
      <c r="Z13" s="144">
        <v>0.70347222222222217</v>
      </c>
      <c r="AA13" s="180">
        <v>0</v>
      </c>
      <c r="AB13" s="145">
        <v>43333</v>
      </c>
      <c r="AC13" s="146">
        <v>0.57430555555555551</v>
      </c>
      <c r="AD13" s="147">
        <v>0</v>
      </c>
      <c r="AE13" s="145"/>
      <c r="AF13" s="146"/>
      <c r="AG13" s="147"/>
      <c r="AH13" s="35">
        <v>43388</v>
      </c>
      <c r="AI13" s="148">
        <v>0.50847222222222221</v>
      </c>
      <c r="AJ13" s="183">
        <v>0</v>
      </c>
      <c r="AK13" s="238" t="s">
        <v>135</v>
      </c>
      <c r="AL13" s="254" t="str">
        <f t="shared" si="0"/>
        <v>2018_UnivMD_Maryland_86896_Dep01_20180711</v>
      </c>
      <c r="AM13" s="44"/>
    </row>
    <row r="14" spans="1:39" s="2" customFormat="1" ht="15.75" customHeight="1" x14ac:dyDescent="0.2">
      <c r="A14" s="163"/>
      <c r="B14" s="12"/>
      <c r="C14" s="12"/>
      <c r="D14" s="12"/>
      <c r="E14" s="43"/>
      <c r="F14" s="43"/>
      <c r="G14" s="12"/>
      <c r="H14" s="12"/>
      <c r="I14" s="12"/>
      <c r="J14" s="12"/>
      <c r="K14" s="12"/>
      <c r="L14" s="12"/>
      <c r="M14" s="12"/>
      <c r="N14" s="12"/>
      <c r="O14" s="5"/>
      <c r="P14" s="5"/>
      <c r="Q14" s="140"/>
      <c r="R14" s="140"/>
      <c r="S14" s="15"/>
      <c r="T14" s="227"/>
      <c r="U14" s="141"/>
      <c r="V14" s="243"/>
      <c r="W14" s="142"/>
      <c r="X14" s="180"/>
      <c r="Y14" s="143"/>
      <c r="Z14" s="144"/>
      <c r="AA14" s="180"/>
      <c r="AB14" s="145"/>
      <c r="AC14" s="146"/>
      <c r="AD14" s="147"/>
      <c r="AE14" s="145"/>
      <c r="AF14" s="146"/>
      <c r="AG14" s="147"/>
      <c r="AH14" s="35"/>
      <c r="AI14" s="148"/>
      <c r="AJ14" s="183"/>
      <c r="AK14" s="238"/>
      <c r="AL14" s="254" t="str">
        <f t="shared" si="0"/>
        <v>2018_UnivMD_Maryland_86896_Dep01_20180711</v>
      </c>
      <c r="AM14" s="44"/>
    </row>
    <row r="15" spans="1:39" s="2" customFormat="1" ht="15.75" customHeight="1" thickBot="1" x14ac:dyDescent="0.25">
      <c r="A15" s="164"/>
      <c r="B15" s="149"/>
      <c r="C15" s="149"/>
      <c r="D15" s="149"/>
      <c r="E15" s="150"/>
      <c r="F15" s="150"/>
      <c r="G15" s="149"/>
      <c r="H15" s="149"/>
      <c r="I15" s="149"/>
      <c r="J15" s="149"/>
      <c r="K15" s="149"/>
      <c r="L15" s="149"/>
      <c r="M15" s="149"/>
      <c r="N15" s="149"/>
      <c r="O15" s="151"/>
      <c r="P15" s="151"/>
      <c r="Q15" s="152"/>
      <c r="R15" s="152"/>
      <c r="S15" s="153"/>
      <c r="T15" s="228"/>
      <c r="U15" s="154"/>
      <c r="V15" s="243"/>
      <c r="W15" s="155"/>
      <c r="X15" s="181"/>
      <c r="Y15" s="143"/>
      <c r="Z15" s="157"/>
      <c r="AA15" s="181"/>
      <c r="AB15" s="158"/>
      <c r="AC15" s="159"/>
      <c r="AD15" s="160"/>
      <c r="AE15" s="158"/>
      <c r="AF15" s="159"/>
      <c r="AG15" s="160"/>
      <c r="AH15" s="35"/>
      <c r="AI15" s="162"/>
      <c r="AJ15" s="185"/>
      <c r="AK15" s="239"/>
      <c r="AL15" s="254" t="str">
        <f t="shared" si="0"/>
        <v>2018_UnivMD_Maryland_86896_Dep01_20180711</v>
      </c>
      <c r="AM15" s="44"/>
    </row>
    <row r="16" spans="1:39" s="2" customFormat="1" ht="15.75" customHeight="1" x14ac:dyDescent="0.2">
      <c r="A16" s="163"/>
      <c r="B16" s="12"/>
      <c r="C16" s="12"/>
      <c r="D16" s="12"/>
      <c r="E16" s="43"/>
      <c r="F16" s="43"/>
      <c r="G16" s="12"/>
      <c r="H16" s="12"/>
      <c r="I16" s="12"/>
      <c r="J16" s="12"/>
      <c r="K16" s="12"/>
      <c r="L16" s="12"/>
      <c r="M16" s="12"/>
      <c r="N16" s="12"/>
      <c r="O16" s="5"/>
      <c r="P16" s="5"/>
      <c r="Q16" s="140"/>
      <c r="R16" s="140"/>
      <c r="S16" s="15"/>
      <c r="T16" s="227"/>
      <c r="U16" s="141"/>
      <c r="V16" s="243"/>
      <c r="W16" s="142"/>
      <c r="X16" s="180"/>
      <c r="Y16" s="143"/>
      <c r="Z16" s="144"/>
      <c r="AA16" s="180"/>
      <c r="AB16" s="145"/>
      <c r="AC16" s="146"/>
      <c r="AD16" s="147"/>
      <c r="AE16" s="145"/>
      <c r="AF16" s="146"/>
      <c r="AG16" s="147"/>
      <c r="AH16" s="35"/>
      <c r="AI16" s="148"/>
      <c r="AJ16" s="183"/>
      <c r="AK16" s="238"/>
      <c r="AL16" s="254" t="str">
        <f t="shared" si="0"/>
        <v>2018_UnivMD_Maryland_86896_Dep01_20180711</v>
      </c>
      <c r="AM16" s="44"/>
    </row>
    <row r="17" spans="1:39" s="2" customFormat="1" ht="15.75" customHeight="1" x14ac:dyDescent="0.2">
      <c r="A17" s="163"/>
      <c r="B17" s="12"/>
      <c r="C17" s="12"/>
      <c r="D17" s="12"/>
      <c r="E17" s="43"/>
      <c r="F17" s="43"/>
      <c r="G17" s="12"/>
      <c r="H17" s="12"/>
      <c r="I17" s="12"/>
      <c r="J17" s="12"/>
      <c r="K17" s="12"/>
      <c r="L17" s="12"/>
      <c r="M17" s="12"/>
      <c r="N17" s="12"/>
      <c r="O17" s="5"/>
      <c r="P17" s="5"/>
      <c r="Q17" s="140"/>
      <c r="R17" s="140"/>
      <c r="S17" s="15"/>
      <c r="T17" s="227"/>
      <c r="U17" s="141"/>
      <c r="V17" s="243"/>
      <c r="W17" s="142"/>
      <c r="X17" s="180"/>
      <c r="Y17" s="143"/>
      <c r="Z17" s="144"/>
      <c r="AA17" s="180"/>
      <c r="AB17" s="145"/>
      <c r="AC17" s="146"/>
      <c r="AD17" s="147"/>
      <c r="AE17" s="145"/>
      <c r="AF17" s="146"/>
      <c r="AG17" s="147"/>
      <c r="AH17" s="35"/>
      <c r="AI17" s="148"/>
      <c r="AJ17" s="183"/>
      <c r="AK17" s="238"/>
      <c r="AL17" s="254" t="str">
        <f t="shared" si="0"/>
        <v>2018_UnivMD_Maryland_86896_Dep01_20180711</v>
      </c>
      <c r="AM17" s="44"/>
    </row>
    <row r="18" spans="1:39" s="2" customFormat="1" ht="15.75" customHeight="1" thickBot="1" x14ac:dyDescent="0.25">
      <c r="A18" s="164"/>
      <c r="B18" s="149"/>
      <c r="C18" s="149"/>
      <c r="D18" s="149"/>
      <c r="E18" s="150"/>
      <c r="F18" s="150"/>
      <c r="G18" s="149"/>
      <c r="H18" s="149"/>
      <c r="I18" s="149"/>
      <c r="J18" s="149"/>
      <c r="K18" s="149"/>
      <c r="L18" s="149"/>
      <c r="M18" s="149"/>
      <c r="N18" s="149"/>
      <c r="O18" s="151"/>
      <c r="P18" s="151"/>
      <c r="Q18" s="152"/>
      <c r="R18" s="152"/>
      <c r="S18" s="153"/>
      <c r="T18" s="228"/>
      <c r="U18" s="154"/>
      <c r="V18" s="244"/>
      <c r="W18" s="155"/>
      <c r="X18" s="181"/>
      <c r="Y18" s="156"/>
      <c r="Z18" s="157"/>
      <c r="AA18" s="181"/>
      <c r="AB18" s="158"/>
      <c r="AC18" s="159"/>
      <c r="AD18" s="160"/>
      <c r="AE18" s="158"/>
      <c r="AF18" s="159"/>
      <c r="AG18" s="160"/>
      <c r="AH18" s="161"/>
      <c r="AI18" s="162"/>
      <c r="AJ18" s="185"/>
      <c r="AK18" s="239"/>
      <c r="AL18" s="254" t="str">
        <f t="shared" si="0"/>
        <v>2018_UnivMD_Maryland_86896_Dep01_20180711</v>
      </c>
      <c r="AM18" s="44"/>
    </row>
    <row r="19" spans="1:39" s="2" customFormat="1" ht="15.75" customHeight="1" x14ac:dyDescent="0.2">
      <c r="A19" s="187"/>
      <c r="B19" s="186"/>
      <c r="C19" s="125"/>
      <c r="D19" s="186"/>
      <c r="E19" s="126"/>
      <c r="F19" s="126"/>
      <c r="G19" s="125"/>
      <c r="H19" s="125"/>
      <c r="I19" s="186"/>
      <c r="J19" s="125"/>
      <c r="K19" s="125"/>
      <c r="L19" s="125"/>
      <c r="M19" s="125"/>
      <c r="N19" s="125"/>
      <c r="O19" s="127"/>
      <c r="P19" s="127"/>
      <c r="Q19" s="128"/>
      <c r="R19" s="128"/>
      <c r="S19" s="129"/>
      <c r="T19" s="229"/>
      <c r="U19" s="130"/>
      <c r="V19" s="245"/>
      <c r="W19" s="131"/>
      <c r="X19" s="132"/>
      <c r="Y19" s="133"/>
      <c r="Z19" s="134"/>
      <c r="AA19" s="182"/>
      <c r="AB19" s="135"/>
      <c r="AC19" s="136"/>
      <c r="AD19" s="137"/>
      <c r="AE19" s="135"/>
      <c r="AF19" s="136"/>
      <c r="AG19" s="137"/>
      <c r="AH19" s="138"/>
      <c r="AI19" s="139"/>
      <c r="AJ19" s="184"/>
      <c r="AK19" s="240"/>
      <c r="AL19" s="254" t="str">
        <f t="shared" si="0"/>
        <v>2018_UnivMD_Maryland_86896_Dep01_20180711</v>
      </c>
      <c r="AM19" s="44"/>
    </row>
    <row r="20" spans="1:39" s="2" customFormat="1" ht="15.75" customHeight="1" thickBot="1" x14ac:dyDescent="0.25">
      <c r="A20" s="187"/>
      <c r="B20" s="12"/>
      <c r="C20" s="12"/>
      <c r="D20" s="12"/>
      <c r="E20" s="43"/>
      <c r="F20" s="43"/>
      <c r="G20" s="12"/>
      <c r="H20" s="12"/>
      <c r="I20" s="12"/>
      <c r="J20" s="12"/>
      <c r="K20" s="12"/>
      <c r="L20" s="12"/>
      <c r="M20" s="12"/>
      <c r="N20" s="12"/>
      <c r="O20" s="5"/>
      <c r="P20" s="5"/>
      <c r="Q20" s="140"/>
      <c r="R20" s="140"/>
      <c r="S20" s="15"/>
      <c r="T20" s="227"/>
      <c r="U20" s="141"/>
      <c r="V20" s="243"/>
      <c r="W20" s="142"/>
      <c r="X20" s="180"/>
      <c r="Y20" s="143"/>
      <c r="Z20" s="144"/>
      <c r="AA20" s="180"/>
      <c r="AB20" s="145"/>
      <c r="AC20" s="146"/>
      <c r="AD20" s="147"/>
      <c r="AE20" s="145"/>
      <c r="AF20" s="146"/>
      <c r="AG20" s="147"/>
      <c r="AH20" s="35"/>
      <c r="AI20" s="148"/>
      <c r="AJ20" s="183"/>
      <c r="AK20" s="238"/>
      <c r="AL20" s="254" t="str">
        <f t="shared" si="0"/>
        <v>2018_UnivMD_Maryland_86896_Dep01_20180711</v>
      </c>
      <c r="AM20" s="44"/>
    </row>
    <row r="21" spans="1:39" s="2" customFormat="1" ht="15.75" customHeight="1" x14ac:dyDescent="0.2">
      <c r="A21" s="187"/>
      <c r="B21" s="12"/>
      <c r="C21" s="12"/>
      <c r="D21" s="12"/>
      <c r="E21" s="43"/>
      <c r="F21" s="43"/>
      <c r="G21" s="12"/>
      <c r="H21" s="12"/>
      <c r="I21" s="12"/>
      <c r="J21" s="12"/>
      <c r="K21" s="12"/>
      <c r="L21" s="12"/>
      <c r="M21" s="12"/>
      <c r="N21" s="12"/>
      <c r="O21" s="5"/>
      <c r="P21" s="5"/>
      <c r="Q21" s="140"/>
      <c r="R21" s="140"/>
      <c r="S21" s="15"/>
      <c r="T21" s="227"/>
      <c r="U21" s="141"/>
      <c r="V21" s="245"/>
      <c r="W21" s="142"/>
      <c r="X21" s="180"/>
      <c r="Y21" s="143"/>
      <c r="Z21" s="144"/>
      <c r="AA21" s="180"/>
      <c r="AB21" s="145"/>
      <c r="AC21" s="146"/>
      <c r="AD21" s="147"/>
      <c r="AE21" s="145"/>
      <c r="AF21" s="146"/>
      <c r="AG21" s="147"/>
      <c r="AH21" s="138"/>
      <c r="AI21" s="148"/>
      <c r="AJ21" s="183"/>
      <c r="AK21" s="238"/>
      <c r="AL21" s="254" t="str">
        <f t="shared" si="0"/>
        <v>2018_UnivMD_Maryland_86896_Dep01_20180711</v>
      </c>
      <c r="AM21" s="44"/>
    </row>
    <row r="22" spans="1:39" s="2" customFormat="1" ht="15.75" customHeight="1" thickBot="1" x14ac:dyDescent="0.25">
      <c r="A22" s="187"/>
      <c r="B22" s="12"/>
      <c r="C22" s="12"/>
      <c r="D22" s="12"/>
      <c r="E22" s="43"/>
      <c r="F22" s="43"/>
      <c r="G22" s="12"/>
      <c r="H22" s="12"/>
      <c r="I22" s="12"/>
      <c r="J22" s="12"/>
      <c r="K22" s="12"/>
      <c r="L22" s="12"/>
      <c r="M22" s="12"/>
      <c r="N22" s="12"/>
      <c r="O22" s="5"/>
      <c r="P22" s="5"/>
      <c r="Q22" s="140"/>
      <c r="R22" s="140"/>
      <c r="S22" s="15"/>
      <c r="T22" s="227"/>
      <c r="U22" s="141"/>
      <c r="V22" s="243"/>
      <c r="W22" s="142"/>
      <c r="X22" s="180"/>
      <c r="Y22" s="143"/>
      <c r="Z22" s="144"/>
      <c r="AA22" s="180"/>
      <c r="AB22" s="145"/>
      <c r="AC22" s="146"/>
      <c r="AD22" s="147"/>
      <c r="AE22" s="145"/>
      <c r="AF22" s="146"/>
      <c r="AG22" s="147"/>
      <c r="AH22" s="35"/>
      <c r="AI22" s="148"/>
      <c r="AJ22" s="183"/>
      <c r="AK22" s="238"/>
      <c r="AL22" s="254" t="str">
        <f t="shared" si="0"/>
        <v>2018_UnivMD_Maryland_86896_Dep01_20180711</v>
      </c>
      <c r="AM22" s="44"/>
    </row>
    <row r="23" spans="1:39" s="2" customFormat="1" ht="15.75" customHeight="1" thickBot="1" x14ac:dyDescent="0.25">
      <c r="A23" s="187"/>
      <c r="B23" s="149"/>
      <c r="C23" s="149"/>
      <c r="D23" s="149"/>
      <c r="E23" s="150"/>
      <c r="F23" s="150"/>
      <c r="G23" s="149"/>
      <c r="H23" s="149"/>
      <c r="I23" s="149"/>
      <c r="J23" s="149"/>
      <c r="K23" s="149"/>
      <c r="L23" s="149"/>
      <c r="M23" s="149"/>
      <c r="N23" s="149"/>
      <c r="O23" s="151"/>
      <c r="P23" s="151"/>
      <c r="Q23" s="152"/>
      <c r="R23" s="152"/>
      <c r="S23" s="153"/>
      <c r="T23" s="228"/>
      <c r="U23" s="154"/>
      <c r="V23" s="245"/>
      <c r="W23" s="155"/>
      <c r="X23" s="181"/>
      <c r="Y23" s="156"/>
      <c r="Z23" s="157"/>
      <c r="AA23" s="181"/>
      <c r="AB23" s="158"/>
      <c r="AC23" s="159"/>
      <c r="AD23" s="160"/>
      <c r="AE23" s="158"/>
      <c r="AF23" s="159"/>
      <c r="AG23" s="160"/>
      <c r="AH23" s="138"/>
      <c r="AI23" s="162"/>
      <c r="AJ23" s="185"/>
      <c r="AK23" s="239"/>
      <c r="AL23" s="254" t="str">
        <f t="shared" si="0"/>
        <v>2018_UnivMD_Maryland_86896_Dep01_20180711</v>
      </c>
      <c r="AM23" s="44"/>
    </row>
    <row r="24" spans="1:39" s="2" customFormat="1" ht="15.75" customHeight="1" x14ac:dyDescent="0.2">
      <c r="A24" s="187"/>
      <c r="B24" s="186"/>
      <c r="C24" s="125"/>
      <c r="D24" s="186"/>
      <c r="E24" s="126"/>
      <c r="F24" s="126"/>
      <c r="G24" s="125"/>
      <c r="H24" s="125"/>
      <c r="I24" s="186"/>
      <c r="J24" s="125"/>
      <c r="K24" s="125"/>
      <c r="L24" s="125"/>
      <c r="M24" s="125"/>
      <c r="N24" s="125"/>
      <c r="O24" s="127"/>
      <c r="P24" s="127"/>
      <c r="Q24" s="128"/>
      <c r="R24" s="128"/>
      <c r="S24" s="129"/>
      <c r="T24" s="229"/>
      <c r="U24" s="130"/>
      <c r="V24" s="245"/>
      <c r="W24" s="131"/>
      <c r="X24" s="132"/>
      <c r="Y24" s="133"/>
      <c r="Z24" s="134"/>
      <c r="AA24" s="182"/>
      <c r="AB24" s="135"/>
      <c r="AC24" s="136"/>
      <c r="AD24" s="137"/>
      <c r="AE24" s="135"/>
      <c r="AF24" s="136"/>
      <c r="AG24" s="137"/>
      <c r="AH24" s="138"/>
      <c r="AI24" s="139"/>
      <c r="AJ24" s="184"/>
      <c r="AK24" s="240"/>
      <c r="AL24" s="254" t="str">
        <f t="shared" si="0"/>
        <v>2018_UnivMD_Maryland_86896_Dep01_20180711</v>
      </c>
      <c r="AM24" s="44"/>
    </row>
    <row r="25" spans="1:39" s="2" customFormat="1" ht="15.75" customHeight="1" thickBot="1" x14ac:dyDescent="0.25">
      <c r="A25" s="163"/>
      <c r="B25" s="12"/>
      <c r="C25" s="12"/>
      <c r="D25" s="12"/>
      <c r="E25" s="43"/>
      <c r="F25" s="43"/>
      <c r="G25" s="12"/>
      <c r="H25" s="12"/>
      <c r="I25" s="12"/>
      <c r="J25" s="12"/>
      <c r="K25" s="12"/>
      <c r="L25" s="12"/>
      <c r="M25" s="12"/>
      <c r="N25" s="12"/>
      <c r="O25" s="5"/>
      <c r="P25" s="5"/>
      <c r="Q25" s="140"/>
      <c r="R25" s="140"/>
      <c r="S25" s="15"/>
      <c r="T25" s="227"/>
      <c r="U25" s="141"/>
      <c r="V25" s="243"/>
      <c r="W25" s="142"/>
      <c r="X25" s="180"/>
      <c r="Y25" s="143"/>
      <c r="Z25" s="144"/>
      <c r="AA25" s="180"/>
      <c r="AB25" s="145"/>
      <c r="AC25" s="146"/>
      <c r="AD25" s="147"/>
      <c r="AE25" s="145"/>
      <c r="AF25" s="146"/>
      <c r="AG25" s="147"/>
      <c r="AH25" s="35"/>
      <c r="AI25" s="148"/>
      <c r="AJ25" s="183"/>
      <c r="AK25" s="238"/>
      <c r="AL25" s="254" t="str">
        <f t="shared" si="0"/>
        <v>2018_UnivMD_Maryland_86896_Dep01_20180711</v>
      </c>
      <c r="AM25" s="44"/>
    </row>
    <row r="26" spans="1:39" s="2" customFormat="1" ht="15.75" customHeight="1" x14ac:dyDescent="0.2">
      <c r="A26" s="163"/>
      <c r="B26" s="12"/>
      <c r="C26" s="12"/>
      <c r="D26" s="12"/>
      <c r="E26" s="43"/>
      <c r="F26" s="43"/>
      <c r="G26" s="12"/>
      <c r="H26" s="12"/>
      <c r="I26" s="12"/>
      <c r="J26" s="12"/>
      <c r="K26" s="12"/>
      <c r="L26" s="12"/>
      <c r="M26" s="12"/>
      <c r="N26" s="12"/>
      <c r="O26" s="5"/>
      <c r="P26" s="5"/>
      <c r="Q26" s="140"/>
      <c r="R26" s="140"/>
      <c r="S26" s="15"/>
      <c r="T26" s="227"/>
      <c r="U26" s="141"/>
      <c r="V26" s="245"/>
      <c r="W26" s="142"/>
      <c r="X26" s="180"/>
      <c r="Y26" s="143"/>
      <c r="Z26" s="144"/>
      <c r="AA26" s="180"/>
      <c r="AB26" s="145"/>
      <c r="AC26" s="146"/>
      <c r="AD26" s="147"/>
      <c r="AE26" s="145"/>
      <c r="AF26" s="146"/>
      <c r="AG26" s="147"/>
      <c r="AH26" s="138"/>
      <c r="AI26" s="148"/>
      <c r="AJ26" s="183"/>
      <c r="AK26" s="238"/>
      <c r="AL26" s="254" t="str">
        <f t="shared" si="0"/>
        <v>2018_UnivMD_Maryland_86896_Dep01_20180711</v>
      </c>
      <c r="AM26" s="44"/>
    </row>
    <row r="27" spans="1:39" s="2" customFormat="1" ht="15.75" customHeight="1" thickBot="1" x14ac:dyDescent="0.25">
      <c r="A27" s="163"/>
      <c r="B27" s="12"/>
      <c r="C27" s="12"/>
      <c r="D27" s="12"/>
      <c r="E27" s="43"/>
      <c r="F27" s="43"/>
      <c r="G27" s="12"/>
      <c r="H27" s="12"/>
      <c r="I27" s="12"/>
      <c r="J27" s="12"/>
      <c r="K27" s="12"/>
      <c r="L27" s="12"/>
      <c r="M27" s="12"/>
      <c r="N27" s="12"/>
      <c r="O27" s="5"/>
      <c r="P27" s="5"/>
      <c r="Q27" s="140"/>
      <c r="R27" s="140"/>
      <c r="S27" s="15"/>
      <c r="T27" s="227"/>
      <c r="U27" s="141"/>
      <c r="V27" s="243"/>
      <c r="W27" s="142"/>
      <c r="X27" s="180"/>
      <c r="Y27" s="143"/>
      <c r="Z27" s="144"/>
      <c r="AA27" s="180"/>
      <c r="AB27" s="145"/>
      <c r="AC27" s="146"/>
      <c r="AD27" s="147"/>
      <c r="AE27" s="145"/>
      <c r="AF27" s="146"/>
      <c r="AG27" s="147"/>
      <c r="AH27" s="35"/>
      <c r="AI27" s="148"/>
      <c r="AJ27" s="183"/>
      <c r="AK27" s="238"/>
      <c r="AL27" s="254" t="str">
        <f t="shared" si="0"/>
        <v>2018_UnivMD_Maryland_86896_Dep01_20180711</v>
      </c>
      <c r="AM27" s="44"/>
    </row>
    <row r="28" spans="1:39" s="2" customFormat="1" ht="15.75" customHeight="1" x14ac:dyDescent="0.2">
      <c r="A28" s="163"/>
      <c r="B28" s="12"/>
      <c r="C28" s="12"/>
      <c r="D28" s="12"/>
      <c r="E28" s="43"/>
      <c r="F28" s="43"/>
      <c r="G28" s="12"/>
      <c r="H28" s="12"/>
      <c r="I28" s="12"/>
      <c r="J28" s="12"/>
      <c r="K28" s="12"/>
      <c r="L28" s="12"/>
      <c r="M28" s="12"/>
      <c r="N28" s="12"/>
      <c r="O28" s="5"/>
      <c r="P28" s="5"/>
      <c r="Q28" s="140"/>
      <c r="R28" s="140"/>
      <c r="S28" s="15"/>
      <c r="T28" s="227"/>
      <c r="U28" s="141"/>
      <c r="V28" s="245"/>
      <c r="W28" s="142"/>
      <c r="X28" s="180"/>
      <c r="Y28" s="143"/>
      <c r="Z28" s="144"/>
      <c r="AA28" s="180"/>
      <c r="AB28" s="145"/>
      <c r="AC28" s="146"/>
      <c r="AD28" s="147"/>
      <c r="AE28" s="145"/>
      <c r="AF28" s="146"/>
      <c r="AG28" s="147"/>
      <c r="AH28" s="138"/>
      <c r="AI28" s="148"/>
      <c r="AJ28" s="183"/>
      <c r="AK28" s="238"/>
      <c r="AL28" s="254" t="str">
        <f t="shared" si="0"/>
        <v>2018_UnivMD_Maryland_86896_Dep01_20180711</v>
      </c>
      <c r="AM28" s="44"/>
    </row>
    <row r="29" spans="1:39" s="2" customFormat="1" ht="15.75" customHeight="1" thickBot="1" x14ac:dyDescent="0.25">
      <c r="A29" s="163"/>
      <c r="B29" s="12"/>
      <c r="C29" s="12"/>
      <c r="D29" s="12"/>
      <c r="E29" s="202"/>
      <c r="F29" s="202"/>
      <c r="G29" s="201"/>
      <c r="H29" s="12"/>
      <c r="I29" s="12"/>
      <c r="J29" s="12"/>
      <c r="K29" s="12"/>
      <c r="L29" s="12"/>
      <c r="M29" s="12"/>
      <c r="N29" s="12"/>
      <c r="O29" s="203"/>
      <c r="P29" s="203"/>
      <c r="Q29" s="140"/>
      <c r="R29" s="204"/>
      <c r="S29" s="205"/>
      <c r="T29" s="230"/>
      <c r="U29" s="206"/>
      <c r="V29" s="243"/>
      <c r="W29" s="142"/>
      <c r="X29" s="180"/>
      <c r="Y29" s="143"/>
      <c r="Z29" s="144"/>
      <c r="AA29" s="180"/>
      <c r="AB29" s="207"/>
      <c r="AC29" s="208"/>
      <c r="AD29" s="209"/>
      <c r="AE29" s="207"/>
      <c r="AF29" s="208"/>
      <c r="AG29" s="209"/>
      <c r="AH29" s="35"/>
      <c r="AI29" s="210"/>
      <c r="AJ29" s="183"/>
      <c r="AK29" s="241"/>
      <c r="AL29" s="254" t="str">
        <f t="shared" si="0"/>
        <v>2018_UnivMD_Maryland_86896_Dep01_20180711</v>
      </c>
      <c r="AM29" s="44"/>
    </row>
    <row r="30" spans="1:39" s="2" customFormat="1" ht="15.75" customHeight="1" thickBot="1" x14ac:dyDescent="0.25">
      <c r="A30" s="164"/>
      <c r="B30" s="149"/>
      <c r="C30" s="149"/>
      <c r="D30" s="149"/>
      <c r="E30" s="150"/>
      <c r="F30" s="150"/>
      <c r="G30" s="149"/>
      <c r="H30" s="149"/>
      <c r="I30" s="149"/>
      <c r="J30" s="149"/>
      <c r="K30" s="149"/>
      <c r="L30" s="149"/>
      <c r="M30" s="149"/>
      <c r="N30" s="149"/>
      <c r="O30" s="151"/>
      <c r="P30" s="151"/>
      <c r="Q30" s="152"/>
      <c r="R30" s="152"/>
      <c r="S30" s="153"/>
      <c r="T30" s="228"/>
      <c r="U30" s="154"/>
      <c r="V30" s="243"/>
      <c r="W30" s="155"/>
      <c r="X30" s="181"/>
      <c r="Y30" s="143"/>
      <c r="Z30" s="157"/>
      <c r="AA30" s="181"/>
      <c r="AB30" s="158"/>
      <c r="AC30" s="159"/>
      <c r="AD30" s="160"/>
      <c r="AE30" s="158"/>
      <c r="AF30" s="159"/>
      <c r="AG30" s="160"/>
      <c r="AH30" s="138"/>
      <c r="AI30" s="162"/>
      <c r="AJ30" s="185"/>
      <c r="AK30" s="239"/>
      <c r="AL30" s="254" t="str">
        <f t="shared" si="0"/>
        <v>2018_UnivMD_Maryland_86896_Dep01_20180711</v>
      </c>
      <c r="AM30" s="44"/>
    </row>
    <row r="31" spans="1:39" s="2" customFormat="1" ht="15.75" customHeight="1" x14ac:dyDescent="0.2">
      <c r="A31" s="187"/>
      <c r="B31" s="186"/>
      <c r="C31" s="186"/>
      <c r="D31" s="186"/>
      <c r="E31" s="188"/>
      <c r="F31" s="188"/>
      <c r="G31" s="186"/>
      <c r="H31" s="186"/>
      <c r="I31" s="186"/>
      <c r="J31" s="186"/>
      <c r="K31" s="186"/>
      <c r="L31" s="186"/>
      <c r="M31" s="186"/>
      <c r="N31" s="186"/>
      <c r="O31" s="189"/>
      <c r="P31" s="189"/>
      <c r="Q31" s="190"/>
      <c r="R31" s="190"/>
      <c r="S31" s="191"/>
      <c r="T31" s="231"/>
      <c r="U31" s="192"/>
      <c r="V31" s="246"/>
      <c r="W31" s="193"/>
      <c r="X31" s="182"/>
      <c r="Y31" s="194"/>
      <c r="Z31" s="195"/>
      <c r="AA31" s="182"/>
      <c r="AB31" s="196"/>
      <c r="AC31" s="197"/>
      <c r="AD31" s="198"/>
      <c r="AE31" s="196"/>
      <c r="AF31" s="197"/>
      <c r="AG31" s="198"/>
      <c r="AH31" s="199"/>
      <c r="AI31" s="200"/>
      <c r="AJ31" s="184"/>
      <c r="AK31" s="240"/>
      <c r="AL31" s="254" t="str">
        <f t="shared" si="0"/>
        <v>2018_UnivMD_Maryland_86896_Dep01_20180711</v>
      </c>
      <c r="AM31" s="44"/>
    </row>
    <row r="32" spans="1:39" s="2" customFormat="1" ht="15.75" customHeight="1" x14ac:dyDescent="0.2">
      <c r="A32" s="163"/>
      <c r="B32" s="12"/>
      <c r="C32" s="12"/>
      <c r="D32" s="12"/>
      <c r="E32" s="43"/>
      <c r="F32" s="43"/>
      <c r="G32" s="12"/>
      <c r="H32" s="12"/>
      <c r="I32" s="12"/>
      <c r="J32" s="12"/>
      <c r="K32" s="12"/>
      <c r="L32" s="12"/>
      <c r="M32" s="12"/>
      <c r="N32" s="12"/>
      <c r="O32" s="5"/>
      <c r="P32" s="5"/>
      <c r="Q32" s="140"/>
      <c r="R32" s="140"/>
      <c r="S32" s="15"/>
      <c r="T32" s="227"/>
      <c r="U32" s="141"/>
      <c r="V32" s="243"/>
      <c r="W32" s="142"/>
      <c r="X32" s="180"/>
      <c r="Y32" s="143"/>
      <c r="Z32" s="144"/>
      <c r="AA32" s="180"/>
      <c r="AB32" s="145"/>
      <c r="AC32" s="146"/>
      <c r="AD32" s="147"/>
      <c r="AE32" s="145"/>
      <c r="AF32" s="146"/>
      <c r="AG32" s="147"/>
      <c r="AH32" s="35"/>
      <c r="AI32" s="148"/>
      <c r="AJ32" s="183"/>
      <c r="AK32" s="238"/>
      <c r="AL32" s="254" t="str">
        <f t="shared" si="0"/>
        <v>2018_UnivMD_Maryland_86896_Dep01_20180711</v>
      </c>
      <c r="AM32" s="44"/>
    </row>
    <row r="33" spans="1:39" s="2" customFormat="1" ht="15.75" customHeight="1" x14ac:dyDescent="0.2">
      <c r="A33" s="163"/>
      <c r="B33" s="12"/>
      <c r="C33" s="12"/>
      <c r="D33" s="12"/>
      <c r="E33" s="43"/>
      <c r="F33" s="43"/>
      <c r="G33" s="12"/>
      <c r="H33" s="12"/>
      <c r="I33" s="12"/>
      <c r="J33" s="12"/>
      <c r="K33" s="12"/>
      <c r="L33" s="12"/>
      <c r="M33" s="12"/>
      <c r="N33" s="12"/>
      <c r="O33" s="5"/>
      <c r="P33" s="5"/>
      <c r="Q33" s="140"/>
      <c r="R33" s="140"/>
      <c r="S33" s="15"/>
      <c r="T33" s="227"/>
      <c r="U33" s="141"/>
      <c r="V33" s="243"/>
      <c r="W33" s="142"/>
      <c r="X33" s="180"/>
      <c r="Y33" s="143"/>
      <c r="Z33" s="144"/>
      <c r="AA33" s="180"/>
      <c r="AB33" s="145"/>
      <c r="AC33" s="146"/>
      <c r="AD33" s="147"/>
      <c r="AE33" s="145"/>
      <c r="AF33" s="146"/>
      <c r="AG33" s="147"/>
      <c r="AH33" s="35"/>
      <c r="AI33" s="148"/>
      <c r="AJ33" s="183"/>
      <c r="AK33" s="238"/>
      <c r="AL33" s="254" t="str">
        <f t="shared" si="0"/>
        <v>2018_UnivMD_Maryland_86896_Dep01_20180711</v>
      </c>
      <c r="AM33" s="44"/>
    </row>
    <row r="34" spans="1:39" s="2" customFormat="1" ht="15.75" customHeight="1" x14ac:dyDescent="0.2">
      <c r="A34" s="163"/>
      <c r="B34" s="12"/>
      <c r="C34" s="12"/>
      <c r="D34" s="12"/>
      <c r="E34" s="43"/>
      <c r="F34" s="43"/>
      <c r="G34" s="12"/>
      <c r="H34" s="12"/>
      <c r="I34" s="12"/>
      <c r="J34" s="12"/>
      <c r="K34" s="12"/>
      <c r="L34" s="12"/>
      <c r="M34" s="12"/>
      <c r="N34" s="12"/>
      <c r="O34" s="5"/>
      <c r="P34" s="5"/>
      <c r="Q34" s="140"/>
      <c r="R34" s="140"/>
      <c r="S34" s="15"/>
      <c r="T34" s="227"/>
      <c r="U34" s="141"/>
      <c r="V34" s="243"/>
      <c r="W34" s="142"/>
      <c r="X34" s="180"/>
      <c r="Y34" s="143"/>
      <c r="Z34" s="144"/>
      <c r="AA34" s="180"/>
      <c r="AB34" s="145"/>
      <c r="AC34" s="146"/>
      <c r="AD34" s="147"/>
      <c r="AE34" s="145"/>
      <c r="AF34" s="146"/>
      <c r="AG34" s="147"/>
      <c r="AH34" s="35"/>
      <c r="AI34" s="148"/>
      <c r="AJ34" s="183"/>
      <c r="AK34" s="238"/>
      <c r="AL34" s="254" t="str">
        <f t="shared" si="0"/>
        <v>2018_UnivMD_Maryland_86896_Dep01_20180711</v>
      </c>
      <c r="AM34" s="44"/>
    </row>
    <row r="35" spans="1:39" s="2" customFormat="1" ht="15.75" customHeight="1" x14ac:dyDescent="0.2">
      <c r="A35" s="163"/>
      <c r="B35" s="12"/>
      <c r="C35" s="12"/>
      <c r="D35" s="12"/>
      <c r="E35" s="43"/>
      <c r="F35" s="43"/>
      <c r="G35" s="12"/>
      <c r="H35" s="12"/>
      <c r="I35" s="12"/>
      <c r="J35" s="12"/>
      <c r="K35" s="12"/>
      <c r="L35" s="12"/>
      <c r="M35" s="12"/>
      <c r="N35" s="12"/>
      <c r="O35" s="5"/>
      <c r="P35" s="5"/>
      <c r="Q35" s="140"/>
      <c r="R35" s="140"/>
      <c r="S35" s="15"/>
      <c r="T35" s="227"/>
      <c r="U35" s="141"/>
      <c r="V35" s="243"/>
      <c r="W35" s="142"/>
      <c r="X35" s="180"/>
      <c r="Y35" s="143"/>
      <c r="Z35" s="144"/>
      <c r="AA35" s="180"/>
      <c r="AB35" s="145"/>
      <c r="AC35" s="146"/>
      <c r="AD35" s="147"/>
      <c r="AE35" s="145"/>
      <c r="AF35" s="146"/>
      <c r="AG35" s="147"/>
      <c r="AH35" s="35"/>
      <c r="AI35" s="148"/>
      <c r="AJ35" s="183"/>
      <c r="AK35" s="238"/>
      <c r="AL35" s="254" t="str">
        <f t="shared" si="0"/>
        <v>2018_UnivMD_Maryland_86896_Dep01_20180711</v>
      </c>
      <c r="AM35" s="44"/>
    </row>
    <row r="36" spans="1:39" s="2" customFormat="1" ht="15.75" customHeight="1" thickBot="1" x14ac:dyDescent="0.25">
      <c r="A36" s="164"/>
      <c r="B36" s="149"/>
      <c r="C36" s="149"/>
      <c r="D36" s="149"/>
      <c r="E36" s="150"/>
      <c r="F36" s="150"/>
      <c r="G36" s="149"/>
      <c r="H36" s="149"/>
      <c r="I36" s="149"/>
      <c r="J36" s="149"/>
      <c r="K36" s="149"/>
      <c r="L36" s="149"/>
      <c r="M36" s="149"/>
      <c r="N36" s="149"/>
      <c r="O36" s="151"/>
      <c r="P36" s="151"/>
      <c r="Q36" s="152"/>
      <c r="R36" s="152"/>
      <c r="S36" s="153"/>
      <c r="T36" s="228"/>
      <c r="U36" s="154"/>
      <c r="V36" s="244"/>
      <c r="W36" s="155"/>
      <c r="X36" s="181"/>
      <c r="Y36" s="156"/>
      <c r="Z36" s="157"/>
      <c r="AA36" s="181"/>
      <c r="AB36" s="145"/>
      <c r="AC36" s="159"/>
      <c r="AD36" s="160"/>
      <c r="AE36" s="158"/>
      <c r="AF36" s="159"/>
      <c r="AG36" s="160"/>
      <c r="AH36" s="161"/>
      <c r="AI36" s="162"/>
      <c r="AJ36" s="185"/>
      <c r="AK36" s="242"/>
      <c r="AL36" s="254" t="str">
        <f t="shared" si="0"/>
        <v>2018_UnivMD_Maryland_86896_Dep01_20180711</v>
      </c>
      <c r="AM36" s="44"/>
    </row>
    <row r="37" spans="1:39" ht="16.5" thickBot="1" x14ac:dyDescent="0.25">
      <c r="A37" s="164"/>
      <c r="B37" s="149"/>
      <c r="C37" s="149"/>
      <c r="D37" s="149"/>
      <c r="E37" s="150"/>
      <c r="F37" s="150"/>
      <c r="G37" s="149"/>
      <c r="H37" s="149"/>
      <c r="I37" s="149"/>
      <c r="J37" s="149"/>
      <c r="K37" s="149"/>
      <c r="L37" s="149"/>
      <c r="M37" s="149"/>
      <c r="N37" s="149"/>
      <c r="O37" s="151"/>
      <c r="P37" s="151"/>
      <c r="Q37" s="152"/>
      <c r="R37" s="152"/>
      <c r="S37" s="153"/>
      <c r="T37" s="228"/>
      <c r="U37" s="154"/>
      <c r="V37" s="244"/>
      <c r="W37" s="155"/>
      <c r="X37" s="181"/>
      <c r="Y37" s="156"/>
      <c r="Z37" s="157"/>
      <c r="AA37" s="181"/>
      <c r="AB37" s="145"/>
      <c r="AC37" s="159"/>
      <c r="AD37" s="160"/>
      <c r="AE37" s="158"/>
      <c r="AF37" s="159"/>
      <c r="AG37" s="160"/>
      <c r="AH37" s="161"/>
      <c r="AI37" s="162"/>
      <c r="AJ37" s="185"/>
      <c r="AK37" s="242"/>
      <c r="AL37" s="254" t="str">
        <f t="shared" si="0"/>
        <v>2018_UnivMD_Maryland_86896_Dep01_20180711</v>
      </c>
      <c r="AM37" s="44"/>
    </row>
    <row r="38" spans="1:39" ht="15.75" x14ac:dyDescent="0.2">
      <c r="AL38" s="254"/>
    </row>
    <row r="39" spans="1:39" ht="15.75" x14ac:dyDescent="0.2">
      <c r="AL39" s="254"/>
    </row>
    <row r="40" spans="1:39" ht="15.75" x14ac:dyDescent="0.2">
      <c r="AL40" s="254"/>
    </row>
    <row r="41" spans="1:39" ht="15.75" x14ac:dyDescent="0.2">
      <c r="AL41" s="254"/>
    </row>
    <row r="42" spans="1:39" ht="15.75" x14ac:dyDescent="0.2">
      <c r="AL42" s="254"/>
    </row>
    <row r="43" spans="1:39" ht="15.75" x14ac:dyDescent="0.2">
      <c r="AL43" s="254"/>
    </row>
    <row r="44" spans="1:39" ht="15.75" x14ac:dyDescent="0.2">
      <c r="AL44" s="254"/>
    </row>
    <row r="45" spans="1:39" ht="15.75" x14ac:dyDescent="0.2">
      <c r="AL45" s="254"/>
    </row>
    <row r="46" spans="1:39" ht="15.75" x14ac:dyDescent="0.2">
      <c r="AL46" s="254"/>
    </row>
    <row r="47" spans="1:39" ht="15.75" x14ac:dyDescent="0.2">
      <c r="AL47" s="254"/>
    </row>
    <row r="48" spans="1:39" ht="15.75" x14ac:dyDescent="0.2">
      <c r="AL48" s="254"/>
    </row>
    <row r="49" spans="38:38" ht="15.75" x14ac:dyDescent="0.2">
      <c r="AL49" s="254"/>
    </row>
    <row r="50" spans="38:38" ht="15.75" x14ac:dyDescent="0.2">
      <c r="AL50" s="254"/>
    </row>
    <row r="51" spans="38:38" ht="15.75" x14ac:dyDescent="0.2">
      <c r="AL51" s="254"/>
    </row>
    <row r="52" spans="38:38" ht="15.75" x14ac:dyDescent="0.2">
      <c r="AL52" s="254"/>
    </row>
    <row r="53" spans="38:38" ht="15.75" x14ac:dyDescent="0.2">
      <c r="AL53" s="254"/>
    </row>
    <row r="54" spans="38:38" ht="15.75" x14ac:dyDescent="0.2">
      <c r="AL54" s="254"/>
    </row>
    <row r="55" spans="38:38" ht="15.75" x14ac:dyDescent="0.2">
      <c r="AL55" s="254"/>
    </row>
    <row r="56" spans="38:38" ht="15.75" x14ac:dyDescent="0.2">
      <c r="AL56" s="254"/>
    </row>
    <row r="57" spans="38:38" ht="15.75" x14ac:dyDescent="0.2">
      <c r="AL57" s="254"/>
    </row>
    <row r="58" spans="38:38" ht="15.75" x14ac:dyDescent="0.2">
      <c r="AL58" s="254"/>
    </row>
    <row r="59" spans="38:38" ht="15.75" x14ac:dyDescent="0.2">
      <c r="AL59" s="254"/>
    </row>
    <row r="60" spans="38:38" ht="15.75" x14ac:dyDescent="0.2">
      <c r="AL60" s="254"/>
    </row>
    <row r="61" spans="38:38" ht="15.75" x14ac:dyDescent="0.2">
      <c r="AL61" s="254"/>
    </row>
    <row r="62" spans="38:38" ht="15.75" x14ac:dyDescent="0.2">
      <c r="AL62" s="254"/>
    </row>
    <row r="63" spans="38:38" ht="15.75" x14ac:dyDescent="0.2">
      <c r="AL63" s="254"/>
    </row>
    <row r="64" spans="38:38" ht="15.75" x14ac:dyDescent="0.2">
      <c r="AL64" s="254"/>
    </row>
    <row r="65" spans="38:38" ht="15.75" x14ac:dyDescent="0.2">
      <c r="AL65" s="254"/>
    </row>
    <row r="66" spans="38:38" ht="15.75" x14ac:dyDescent="0.2">
      <c r="AL66" s="254"/>
    </row>
    <row r="67" spans="38:38" ht="15.75" x14ac:dyDescent="0.2">
      <c r="AL67" s="254"/>
    </row>
    <row r="68" spans="38:38" ht="15.75" x14ac:dyDescent="0.2">
      <c r="AL68" s="254"/>
    </row>
    <row r="69" spans="38:38" ht="15.75" x14ac:dyDescent="0.2">
      <c r="AL69" s="254"/>
    </row>
  </sheetData>
  <phoneticPr fontId="2" type="noConversion"/>
  <conditionalFormatting sqref="F2:F3">
    <cfRule type="cellIs" dxfId="1" priority="2" operator="equal">
      <formula>""</formula>
    </cfRule>
  </conditionalFormatting>
  <conditionalFormatting sqref="F4">
    <cfRule type="cellIs" dxfId="0" priority="1" operator="equal">
      <formula>""</formula>
    </cfRule>
  </conditionalFormatting>
  <pageMargins left="0.75" right="0.75" top="1" bottom="1" header="0.5" footer="0.5"/>
  <pageSetup scale="26" orientation="landscape" r:id="rId1"/>
  <headerFooter alignWithMargins="0"/>
  <colBreaks count="1" manualBreakCount="1">
    <brk id="36" min="2" max="50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9"/>
  <sheetViews>
    <sheetView workbookViewId="0">
      <selection activeCell="F9" sqref="F9"/>
    </sheetView>
  </sheetViews>
  <sheetFormatPr defaultColWidth="8.85546875" defaultRowHeight="12.75" x14ac:dyDescent="0.2"/>
  <cols>
    <col min="1" max="1" width="14" customWidth="1"/>
    <col min="2" max="2" width="14.42578125" customWidth="1"/>
    <col min="3" max="3" width="2.28515625" customWidth="1"/>
    <col min="4" max="4" width="12.7109375" customWidth="1"/>
    <col min="5" max="5" width="2.7109375" customWidth="1"/>
    <col min="6" max="6" width="19.42578125" customWidth="1"/>
    <col min="7" max="7" width="46" customWidth="1"/>
    <col min="9" max="9" width="14.42578125" customWidth="1"/>
    <col min="10" max="10" width="2.28515625" customWidth="1"/>
    <col min="11" max="11" width="12.7109375" customWidth="1"/>
    <col min="12" max="12" width="2.7109375" customWidth="1"/>
    <col min="13" max="13" width="19.42578125" customWidth="1"/>
    <col min="14" max="14" width="46" customWidth="1"/>
  </cols>
  <sheetData>
    <row r="2" spans="1:19" ht="20.25" x14ac:dyDescent="0.3">
      <c r="B2" s="31" t="s">
        <v>28</v>
      </c>
      <c r="E2" s="31" t="str">
        <f>'META-DATA'!F2</f>
        <v>2018_UnivMD_Maryland_86896</v>
      </c>
      <c r="F2" s="31"/>
      <c r="I2" s="31"/>
      <c r="L2" s="31"/>
      <c r="M2" s="31"/>
    </row>
    <row r="3" spans="1:19" ht="20.25" x14ac:dyDescent="0.3">
      <c r="B3" s="31" t="s">
        <v>23</v>
      </c>
      <c r="E3" s="31">
        <f>'META-DATA'!F3</f>
        <v>1</v>
      </c>
      <c r="F3" s="31"/>
      <c r="I3" s="31"/>
      <c r="L3" s="31"/>
      <c r="M3" s="31"/>
    </row>
    <row r="6" spans="1:19" ht="13.5" thickBot="1" x14ac:dyDescent="0.25">
      <c r="B6" s="105"/>
      <c r="C6" s="105"/>
      <c r="D6" s="105"/>
      <c r="E6" s="105"/>
      <c r="F6" s="105"/>
      <c r="G6" s="105"/>
    </row>
    <row r="7" spans="1:19" ht="18.75" thickTop="1" x14ac:dyDescent="0.25">
      <c r="B7" s="107"/>
      <c r="C7" s="108"/>
      <c r="D7" s="108"/>
      <c r="E7" s="108"/>
      <c r="F7" s="108"/>
      <c r="G7" s="109"/>
      <c r="I7" s="107"/>
      <c r="J7" s="108"/>
      <c r="K7" s="108"/>
      <c r="L7" s="108"/>
      <c r="M7" s="108"/>
      <c r="N7" s="109"/>
    </row>
    <row r="8" spans="1:19" ht="18.75" thickBot="1" x14ac:dyDescent="0.3">
      <c r="B8" s="110" t="s">
        <v>26</v>
      </c>
      <c r="C8" s="103"/>
      <c r="D8" s="103"/>
      <c r="E8" s="103"/>
      <c r="F8" s="103"/>
      <c r="G8" s="111"/>
      <c r="I8" s="110" t="s">
        <v>26</v>
      </c>
      <c r="J8" s="103"/>
      <c r="K8" s="103"/>
      <c r="L8" s="103"/>
      <c r="M8" s="103"/>
      <c r="N8" s="111"/>
    </row>
    <row r="9" spans="1:19" ht="31.5" x14ac:dyDescent="0.25">
      <c r="B9" s="112" t="s">
        <v>4</v>
      </c>
      <c r="C9" s="32"/>
      <c r="D9" s="32" t="s">
        <v>5</v>
      </c>
      <c r="E9" s="22"/>
      <c r="F9" s="22" t="s">
        <v>6</v>
      </c>
      <c r="G9" s="113" t="s">
        <v>24</v>
      </c>
      <c r="I9" s="112" t="s">
        <v>4</v>
      </c>
      <c r="J9" s="32"/>
      <c r="K9" s="32" t="s">
        <v>5</v>
      </c>
      <c r="L9" s="22"/>
      <c r="M9" s="22" t="s">
        <v>6</v>
      </c>
      <c r="N9" s="113" t="s">
        <v>24</v>
      </c>
    </row>
    <row r="10" spans="1:19" ht="15" x14ac:dyDescent="0.2">
      <c r="B10" s="114">
        <v>43292</v>
      </c>
      <c r="C10" s="23"/>
      <c r="D10" s="167">
        <v>0.54761574074074071</v>
      </c>
      <c r="E10" s="168"/>
      <c r="F10" s="23" t="s">
        <v>25</v>
      </c>
      <c r="G10" s="165" t="s">
        <v>131</v>
      </c>
      <c r="H10" s="165"/>
      <c r="I10" s="176"/>
      <c r="J10" s="165"/>
      <c r="K10" s="177"/>
      <c r="L10" s="166"/>
      <c r="M10" s="23" t="s">
        <v>25</v>
      </c>
      <c r="N10" s="165"/>
      <c r="O10" s="165"/>
      <c r="P10" s="165"/>
      <c r="Q10" s="165"/>
      <c r="R10" s="165"/>
      <c r="S10" s="166"/>
    </row>
    <row r="11" spans="1:19" ht="15" x14ac:dyDescent="0.2">
      <c r="B11" s="116"/>
      <c r="C11" s="25"/>
      <c r="D11" s="169">
        <v>0.54778935185185185</v>
      </c>
      <c r="E11" s="170"/>
      <c r="F11" s="23" t="s">
        <v>7</v>
      </c>
      <c r="G11" s="115"/>
      <c r="I11" s="116"/>
      <c r="J11" s="25"/>
      <c r="K11" s="178"/>
      <c r="L11" s="170"/>
      <c r="M11" s="23" t="s">
        <v>7</v>
      </c>
      <c r="N11" s="115"/>
    </row>
    <row r="12" spans="1:19" ht="15" x14ac:dyDescent="0.2">
      <c r="A12" s="106"/>
      <c r="B12" s="116"/>
      <c r="C12" s="25"/>
      <c r="D12" s="169">
        <v>0.54800925925925925</v>
      </c>
      <c r="E12" s="170"/>
      <c r="F12" s="23" t="s">
        <v>79</v>
      </c>
      <c r="G12" s="115"/>
      <c r="I12" s="116"/>
      <c r="J12" s="25"/>
      <c r="K12" s="178"/>
      <c r="L12" s="170"/>
      <c r="M12" s="23" t="s">
        <v>8</v>
      </c>
      <c r="N12" s="115"/>
    </row>
    <row r="13" spans="1:19" ht="15" x14ac:dyDescent="0.2">
      <c r="B13" s="116"/>
      <c r="C13" s="25"/>
      <c r="D13" s="169">
        <v>0.5482407407407407</v>
      </c>
      <c r="E13" s="170"/>
      <c r="F13" s="23" t="s">
        <v>8</v>
      </c>
      <c r="G13" s="115"/>
      <c r="I13" s="116"/>
      <c r="J13" s="25"/>
      <c r="K13" s="178"/>
      <c r="L13" s="170"/>
      <c r="M13" s="23" t="s">
        <v>9</v>
      </c>
      <c r="N13" s="115"/>
    </row>
    <row r="14" spans="1:19" ht="15" x14ac:dyDescent="0.2">
      <c r="B14" s="116"/>
      <c r="C14" s="25"/>
      <c r="D14" s="169">
        <v>0.54841435185185183</v>
      </c>
      <c r="E14" s="170"/>
      <c r="F14" s="23" t="s">
        <v>3</v>
      </c>
      <c r="G14" s="115"/>
      <c r="I14" s="116"/>
      <c r="J14" s="25"/>
      <c r="K14" s="178"/>
      <c r="L14" s="170"/>
      <c r="M14" s="23" t="s">
        <v>3</v>
      </c>
      <c r="N14" s="115"/>
    </row>
    <row r="15" spans="1:19" ht="15.75" thickBot="1" x14ac:dyDescent="0.25">
      <c r="B15" s="117"/>
      <c r="C15" s="28"/>
      <c r="D15" s="171"/>
      <c r="E15" s="172"/>
      <c r="F15" s="30" t="s">
        <v>25</v>
      </c>
      <c r="G15" s="118"/>
      <c r="I15" s="117"/>
      <c r="J15" s="28"/>
      <c r="K15" s="179"/>
      <c r="L15" s="172"/>
      <c r="M15" s="30" t="s">
        <v>25</v>
      </c>
      <c r="N15" s="118"/>
    </row>
    <row r="16" spans="1:19" x14ac:dyDescent="0.2">
      <c r="B16" s="119"/>
      <c r="C16" s="104"/>
      <c r="D16" s="104"/>
      <c r="E16" s="104"/>
      <c r="F16" s="104"/>
      <c r="G16" s="115"/>
      <c r="I16" s="119"/>
      <c r="J16" s="104"/>
      <c r="K16" s="104"/>
      <c r="L16" s="104"/>
      <c r="M16" s="104"/>
      <c r="N16" s="115"/>
    </row>
    <row r="17" spans="2:19" ht="18.75" thickBot="1" x14ac:dyDescent="0.3">
      <c r="B17" s="110" t="s">
        <v>27</v>
      </c>
      <c r="C17" s="103"/>
      <c r="D17" s="103"/>
      <c r="E17" s="103"/>
      <c r="F17" s="103"/>
      <c r="G17" s="111"/>
      <c r="I17" s="110" t="s">
        <v>27</v>
      </c>
      <c r="J17" s="103"/>
      <c r="K17" s="103"/>
      <c r="L17" s="103"/>
      <c r="M17" s="103"/>
      <c r="N17" s="111"/>
    </row>
    <row r="18" spans="2:19" ht="31.5" x14ac:dyDescent="0.25">
      <c r="B18" s="112" t="s">
        <v>4</v>
      </c>
      <c r="C18" s="32"/>
      <c r="D18" s="32" t="s">
        <v>5</v>
      </c>
      <c r="E18" s="22"/>
      <c r="F18" s="22" t="s">
        <v>6</v>
      </c>
      <c r="G18" s="113" t="s">
        <v>24</v>
      </c>
      <c r="I18" s="112" t="s">
        <v>4</v>
      </c>
      <c r="J18" s="32"/>
      <c r="K18" s="32" t="s">
        <v>5</v>
      </c>
      <c r="L18" s="22"/>
      <c r="M18" s="22" t="s">
        <v>6</v>
      </c>
      <c r="N18" s="113" t="s">
        <v>24</v>
      </c>
    </row>
    <row r="19" spans="2:19" ht="15" x14ac:dyDescent="0.2">
      <c r="B19" s="114">
        <v>43334</v>
      </c>
      <c r="C19" s="23"/>
      <c r="D19" s="24" t="s">
        <v>130</v>
      </c>
      <c r="E19" s="23"/>
      <c r="F19" s="23" t="s">
        <v>25</v>
      </c>
      <c r="G19" s="115" t="s">
        <v>131</v>
      </c>
      <c r="I19" s="114"/>
      <c r="J19" s="23"/>
      <c r="K19" s="24"/>
      <c r="L19" s="23"/>
      <c r="M19" s="23" t="s">
        <v>25</v>
      </c>
      <c r="N19" s="115"/>
    </row>
    <row r="20" spans="2:19" ht="15" x14ac:dyDescent="0.2">
      <c r="B20" s="116"/>
      <c r="C20" s="25"/>
      <c r="D20" s="26">
        <v>0.87782407407407403</v>
      </c>
      <c r="E20" s="27"/>
      <c r="F20" s="23" t="s">
        <v>7</v>
      </c>
      <c r="G20" s="115"/>
      <c r="I20" s="116"/>
      <c r="J20" s="25"/>
      <c r="K20" s="26"/>
      <c r="L20" s="27"/>
      <c r="M20" s="23" t="s">
        <v>7</v>
      </c>
      <c r="N20" s="115"/>
    </row>
    <row r="21" spans="2:19" ht="15" x14ac:dyDescent="0.2">
      <c r="B21" s="116"/>
      <c r="C21" s="25"/>
      <c r="D21" s="26">
        <v>0.87812499999999993</v>
      </c>
      <c r="E21" s="27"/>
      <c r="F21" s="23" t="s">
        <v>79</v>
      </c>
      <c r="G21" s="115"/>
      <c r="I21" s="116"/>
      <c r="J21" s="25"/>
      <c r="K21" s="26"/>
      <c r="L21" s="27"/>
      <c r="M21" s="23" t="s">
        <v>79</v>
      </c>
      <c r="N21" s="115"/>
    </row>
    <row r="22" spans="2:19" ht="15" x14ac:dyDescent="0.2">
      <c r="B22" s="116"/>
      <c r="C22" s="25"/>
      <c r="D22" s="26">
        <v>0.8784143518518519</v>
      </c>
      <c r="E22" s="27"/>
      <c r="F22" s="23" t="s">
        <v>8</v>
      </c>
      <c r="G22" s="115"/>
      <c r="I22" s="116"/>
      <c r="J22" s="25"/>
      <c r="K22" s="26"/>
      <c r="L22" s="27"/>
      <c r="M22" s="23" t="s">
        <v>9</v>
      </c>
      <c r="N22" s="115"/>
    </row>
    <row r="23" spans="2:19" ht="15" x14ac:dyDescent="0.2">
      <c r="B23" s="116"/>
      <c r="C23" s="25"/>
      <c r="D23" s="26">
        <v>0.87859953703703697</v>
      </c>
      <c r="E23" s="27"/>
      <c r="F23" s="23" t="s">
        <v>3</v>
      </c>
      <c r="G23" s="115"/>
      <c r="I23" s="116"/>
      <c r="J23" s="25"/>
      <c r="K23" s="26"/>
      <c r="L23" s="27"/>
      <c r="M23" s="23" t="s">
        <v>3</v>
      </c>
      <c r="N23" s="115"/>
    </row>
    <row r="24" spans="2:19" ht="15.75" thickBot="1" x14ac:dyDescent="0.25">
      <c r="B24" s="120"/>
      <c r="C24" s="121"/>
      <c r="D24" s="122" t="s">
        <v>130</v>
      </c>
      <c r="E24" s="123"/>
      <c r="F24" s="123" t="s">
        <v>25</v>
      </c>
      <c r="G24" s="124"/>
      <c r="I24" s="120"/>
      <c r="J24" s="121"/>
      <c r="K24" s="122"/>
      <c r="L24" s="123"/>
      <c r="M24" s="123" t="s">
        <v>25</v>
      </c>
      <c r="N24" s="124"/>
    </row>
    <row r="25" spans="2:19" ht="13.5" thickTop="1" x14ac:dyDescent="0.2"/>
    <row r="28" spans="2:19" ht="13.5" thickBot="1" x14ac:dyDescent="0.25"/>
    <row r="29" spans="2:19" ht="18.75" thickTop="1" x14ac:dyDescent="0.25">
      <c r="B29" s="107"/>
      <c r="C29" s="108"/>
      <c r="D29" s="108"/>
      <c r="E29" s="108"/>
      <c r="F29" s="108"/>
      <c r="G29" s="109"/>
      <c r="I29" s="107"/>
      <c r="J29" s="108"/>
      <c r="K29" s="108"/>
      <c r="L29" s="108"/>
      <c r="M29" s="108"/>
      <c r="N29" s="109"/>
    </row>
    <row r="30" spans="2:19" ht="18.75" thickBot="1" x14ac:dyDescent="0.3">
      <c r="B30" s="110" t="s">
        <v>26</v>
      </c>
      <c r="C30" s="103"/>
      <c r="D30" s="103"/>
      <c r="E30" s="103"/>
      <c r="F30" s="103"/>
      <c r="G30" s="111"/>
      <c r="I30" s="110" t="s">
        <v>26</v>
      </c>
      <c r="J30" s="103"/>
      <c r="K30" s="103"/>
      <c r="L30" s="103"/>
      <c r="M30" s="103"/>
      <c r="N30" s="111"/>
    </row>
    <row r="31" spans="2:19" ht="31.5" x14ac:dyDescent="0.25">
      <c r="B31" s="112" t="s">
        <v>4</v>
      </c>
      <c r="C31" s="32"/>
      <c r="D31" s="32" t="s">
        <v>5</v>
      </c>
      <c r="E31" s="22"/>
      <c r="F31" s="22" t="s">
        <v>6</v>
      </c>
      <c r="G31" s="113" t="s">
        <v>24</v>
      </c>
      <c r="I31" s="112" t="s">
        <v>4</v>
      </c>
      <c r="J31" s="32"/>
      <c r="K31" s="32" t="s">
        <v>5</v>
      </c>
      <c r="L31" s="22"/>
      <c r="M31" s="22" t="s">
        <v>6</v>
      </c>
      <c r="N31" s="113" t="s">
        <v>24</v>
      </c>
    </row>
    <row r="32" spans="2:19" ht="15" x14ac:dyDescent="0.2">
      <c r="B32" s="114"/>
      <c r="C32" s="23"/>
      <c r="D32" s="167"/>
      <c r="E32" s="168"/>
      <c r="F32" s="23" t="s">
        <v>25</v>
      </c>
      <c r="G32" s="174"/>
      <c r="H32" s="165"/>
      <c r="I32" s="114"/>
      <c r="J32" s="23"/>
      <c r="K32" s="167"/>
      <c r="L32" s="168"/>
      <c r="M32" s="23" t="s">
        <v>25</v>
      </c>
      <c r="N32" s="174"/>
      <c r="O32" s="165"/>
      <c r="P32" s="165"/>
      <c r="Q32" s="165"/>
      <c r="R32" s="165"/>
      <c r="S32" s="166"/>
    </row>
    <row r="33" spans="2:14" ht="15" x14ac:dyDescent="0.2">
      <c r="B33" s="116"/>
      <c r="C33" s="25"/>
      <c r="D33" s="167"/>
      <c r="E33" s="170"/>
      <c r="F33" s="23" t="s">
        <v>7</v>
      </c>
      <c r="G33" s="115"/>
      <c r="I33" s="116"/>
      <c r="J33" s="25"/>
      <c r="K33" s="169"/>
      <c r="L33" s="170"/>
      <c r="M33" s="23" t="s">
        <v>7</v>
      </c>
      <c r="N33" s="115"/>
    </row>
    <row r="34" spans="2:14" ht="15" x14ac:dyDescent="0.2">
      <c r="B34" s="116"/>
      <c r="C34" s="25"/>
      <c r="D34" s="173"/>
      <c r="E34" s="170"/>
      <c r="F34" s="23" t="s">
        <v>8</v>
      </c>
      <c r="G34" s="115"/>
      <c r="I34" s="116"/>
      <c r="J34" s="25"/>
      <c r="K34" s="169"/>
      <c r="L34" s="170"/>
      <c r="M34" s="23" t="s">
        <v>8</v>
      </c>
      <c r="N34" s="115"/>
    </row>
    <row r="35" spans="2:14" ht="15" x14ac:dyDescent="0.2">
      <c r="B35" s="116"/>
      <c r="C35" s="25"/>
      <c r="D35" s="173"/>
      <c r="E35" s="170"/>
      <c r="F35" s="23" t="s">
        <v>9</v>
      </c>
      <c r="G35" s="115"/>
      <c r="I35" s="116"/>
      <c r="J35" s="25"/>
      <c r="K35" s="169"/>
      <c r="L35" s="170"/>
      <c r="M35" s="23" t="s">
        <v>9</v>
      </c>
      <c r="N35" s="115"/>
    </row>
    <row r="36" spans="2:14" ht="15" x14ac:dyDescent="0.2">
      <c r="B36" s="116"/>
      <c r="C36" s="25"/>
      <c r="D36" s="169"/>
      <c r="E36" s="170"/>
      <c r="F36" s="23" t="s">
        <v>3</v>
      </c>
      <c r="G36" s="115"/>
      <c r="I36" s="116"/>
      <c r="J36" s="25"/>
      <c r="K36" s="169"/>
      <c r="L36" s="170"/>
      <c r="M36" s="23" t="s">
        <v>3</v>
      </c>
      <c r="N36" s="115"/>
    </row>
    <row r="37" spans="2:14" ht="15.75" thickBot="1" x14ac:dyDescent="0.25">
      <c r="B37" s="117"/>
      <c r="C37" s="28"/>
      <c r="D37" s="171"/>
      <c r="E37" s="172"/>
      <c r="F37" s="30" t="s">
        <v>25</v>
      </c>
      <c r="G37" s="118"/>
      <c r="I37" s="117"/>
      <c r="J37" s="28"/>
      <c r="K37" s="171"/>
      <c r="L37" s="172"/>
      <c r="M37" s="30" t="s">
        <v>25</v>
      </c>
      <c r="N37" s="118"/>
    </row>
    <row r="38" spans="2:14" x14ac:dyDescent="0.2">
      <c r="B38" s="119"/>
      <c r="C38" s="104"/>
      <c r="D38" s="104"/>
      <c r="E38" s="104"/>
      <c r="F38" s="104"/>
      <c r="G38" s="115"/>
      <c r="I38" s="119"/>
      <c r="J38" s="104"/>
      <c r="K38" s="104"/>
      <c r="L38" s="104"/>
      <c r="M38" s="104"/>
      <c r="N38" s="115"/>
    </row>
    <row r="39" spans="2:14" ht="18.75" thickBot="1" x14ac:dyDescent="0.3">
      <c r="B39" s="110" t="s">
        <v>27</v>
      </c>
      <c r="C39" s="103"/>
      <c r="D39" s="103"/>
      <c r="E39" s="103"/>
      <c r="F39" s="103"/>
      <c r="G39" s="111"/>
      <c r="I39" s="110" t="s">
        <v>27</v>
      </c>
      <c r="J39" s="103"/>
      <c r="K39" s="103"/>
      <c r="L39" s="103"/>
      <c r="M39" s="103"/>
      <c r="N39" s="111"/>
    </row>
    <row r="40" spans="2:14" ht="31.5" x14ac:dyDescent="0.25">
      <c r="B40" s="112" t="s">
        <v>4</v>
      </c>
      <c r="C40" s="32"/>
      <c r="D40" s="32" t="s">
        <v>5</v>
      </c>
      <c r="E40" s="22"/>
      <c r="F40" s="22" t="s">
        <v>6</v>
      </c>
      <c r="G40" s="113" t="s">
        <v>24</v>
      </c>
      <c r="I40" s="112" t="s">
        <v>4</v>
      </c>
      <c r="J40" s="32"/>
      <c r="K40" s="32" t="s">
        <v>5</v>
      </c>
      <c r="L40" s="22"/>
      <c r="M40" s="22" t="s">
        <v>6</v>
      </c>
      <c r="N40" s="113" t="s">
        <v>24</v>
      </c>
    </row>
    <row r="41" spans="2:14" ht="15" x14ac:dyDescent="0.2">
      <c r="B41" s="114"/>
      <c r="C41" s="23"/>
      <c r="D41" s="24"/>
      <c r="E41" s="23"/>
      <c r="F41" s="23" t="s">
        <v>25</v>
      </c>
      <c r="G41" s="115"/>
      <c r="I41" s="114"/>
      <c r="J41" s="23"/>
      <c r="K41" s="24"/>
      <c r="L41" s="23"/>
      <c r="M41" s="23" t="s">
        <v>25</v>
      </c>
      <c r="N41" s="115"/>
    </row>
    <row r="42" spans="2:14" ht="15" x14ac:dyDescent="0.2">
      <c r="B42" s="116"/>
      <c r="C42" s="25"/>
      <c r="D42" s="26"/>
      <c r="E42" s="27"/>
      <c r="F42" s="23" t="s">
        <v>7</v>
      </c>
      <c r="G42" s="115"/>
      <c r="I42" s="116"/>
      <c r="J42" s="25"/>
      <c r="K42" s="26"/>
      <c r="L42" s="27"/>
      <c r="M42" s="23" t="s">
        <v>7</v>
      </c>
      <c r="N42" s="115"/>
    </row>
    <row r="43" spans="2:14" ht="15" x14ac:dyDescent="0.2">
      <c r="B43" s="116"/>
      <c r="C43" s="25"/>
      <c r="D43" s="26"/>
      <c r="E43" s="27"/>
      <c r="F43" s="23" t="s">
        <v>79</v>
      </c>
      <c r="G43" s="115"/>
      <c r="I43" s="116"/>
      <c r="J43" s="25"/>
      <c r="K43" s="26"/>
      <c r="L43" s="27"/>
      <c r="M43" s="23" t="s">
        <v>8</v>
      </c>
      <c r="N43" s="115"/>
    </row>
    <row r="44" spans="2:14" ht="15" x14ac:dyDescent="0.2">
      <c r="B44" s="116"/>
      <c r="C44" s="25"/>
      <c r="D44" s="26"/>
      <c r="E44" s="27"/>
      <c r="F44" s="23" t="s">
        <v>9</v>
      </c>
      <c r="G44" s="115"/>
      <c r="I44" s="116"/>
      <c r="J44" s="25"/>
      <c r="K44" s="26"/>
      <c r="L44" s="27"/>
      <c r="M44" s="23" t="s">
        <v>9</v>
      </c>
      <c r="N44" s="115"/>
    </row>
    <row r="45" spans="2:14" ht="15" x14ac:dyDescent="0.2">
      <c r="B45" s="116"/>
      <c r="C45" s="25"/>
      <c r="D45" s="26"/>
      <c r="E45" s="27"/>
      <c r="F45" s="23" t="s">
        <v>3</v>
      </c>
      <c r="G45" s="115"/>
      <c r="I45" s="116"/>
      <c r="J45" s="25"/>
      <c r="K45" s="26"/>
      <c r="L45" s="27"/>
      <c r="M45" s="23" t="s">
        <v>3</v>
      </c>
      <c r="N45" s="115"/>
    </row>
    <row r="46" spans="2:14" ht="15.75" thickBot="1" x14ac:dyDescent="0.25">
      <c r="B46" s="120"/>
      <c r="C46" s="121"/>
      <c r="D46" s="122"/>
      <c r="E46" s="123"/>
      <c r="F46" s="123" t="s">
        <v>25</v>
      </c>
      <c r="G46" s="124"/>
      <c r="I46" s="120"/>
      <c r="J46" s="121"/>
      <c r="K46" s="122"/>
      <c r="L46" s="123"/>
      <c r="M46" s="123" t="s">
        <v>25</v>
      </c>
      <c r="N46" s="124"/>
    </row>
    <row r="47" spans="2:14" ht="13.5" thickTop="1" x14ac:dyDescent="0.2"/>
    <row r="50" spans="2:19" ht="13.5" thickBot="1" x14ac:dyDescent="0.25"/>
    <row r="51" spans="2:19" ht="18.75" thickTop="1" x14ac:dyDescent="0.25">
      <c r="B51" s="107"/>
      <c r="C51" s="108"/>
      <c r="D51" s="108"/>
      <c r="E51" s="108"/>
      <c r="F51" s="108"/>
      <c r="G51" s="109"/>
      <c r="I51" s="107"/>
      <c r="J51" s="108"/>
      <c r="K51" s="108"/>
      <c r="L51" s="108"/>
      <c r="M51" s="108"/>
      <c r="N51" s="109"/>
    </row>
    <row r="52" spans="2:19" ht="18.75" thickBot="1" x14ac:dyDescent="0.3">
      <c r="B52" s="110" t="s">
        <v>26</v>
      </c>
      <c r="C52" s="103"/>
      <c r="D52" s="103"/>
      <c r="E52" s="103"/>
      <c r="F52" s="103"/>
      <c r="G52" s="111"/>
      <c r="I52" s="110" t="s">
        <v>26</v>
      </c>
      <c r="J52" s="103"/>
      <c r="K52" s="103"/>
      <c r="L52" s="103"/>
      <c r="M52" s="103"/>
      <c r="N52" s="111"/>
    </row>
    <row r="53" spans="2:19" ht="31.5" x14ac:dyDescent="0.25">
      <c r="B53" s="112" t="s">
        <v>4</v>
      </c>
      <c r="C53" s="32"/>
      <c r="D53" s="32" t="s">
        <v>5</v>
      </c>
      <c r="E53" s="22"/>
      <c r="F53" s="22" t="s">
        <v>6</v>
      </c>
      <c r="G53" s="113" t="s">
        <v>24</v>
      </c>
      <c r="I53" s="112" t="s">
        <v>4</v>
      </c>
      <c r="J53" s="32"/>
      <c r="K53" s="32" t="s">
        <v>5</v>
      </c>
      <c r="L53" s="22"/>
      <c r="M53" s="22" t="s">
        <v>6</v>
      </c>
      <c r="N53" s="113" t="s">
        <v>24</v>
      </c>
    </row>
    <row r="54" spans="2:19" ht="15" x14ac:dyDescent="0.2">
      <c r="B54" s="114"/>
      <c r="C54" s="23"/>
      <c r="D54" s="167"/>
      <c r="E54" s="168"/>
      <c r="F54" s="23" t="s">
        <v>25</v>
      </c>
      <c r="G54" s="165"/>
      <c r="H54" s="165"/>
      <c r="I54" s="114"/>
      <c r="J54" s="165"/>
      <c r="K54" s="169"/>
      <c r="L54" s="170"/>
      <c r="M54" s="23" t="s">
        <v>25</v>
      </c>
      <c r="N54" s="259"/>
      <c r="O54" s="259"/>
      <c r="P54" s="259"/>
      <c r="Q54" s="259"/>
      <c r="R54" s="259"/>
      <c r="S54" s="260"/>
    </row>
    <row r="55" spans="2:19" ht="15" x14ac:dyDescent="0.2">
      <c r="B55" s="116"/>
      <c r="C55" s="25"/>
      <c r="D55" s="169"/>
      <c r="E55" s="170"/>
      <c r="F55" s="23" t="s">
        <v>7</v>
      </c>
      <c r="G55" s="115"/>
      <c r="I55" s="116"/>
      <c r="J55" s="25"/>
      <c r="K55" s="257"/>
      <c r="L55" s="258"/>
      <c r="M55" s="23" t="s">
        <v>7</v>
      </c>
      <c r="N55" s="115"/>
    </row>
    <row r="56" spans="2:19" ht="15" x14ac:dyDescent="0.2">
      <c r="B56" s="116"/>
      <c r="C56" s="25"/>
      <c r="D56" s="169"/>
      <c r="E56" s="170"/>
      <c r="F56" s="23" t="s">
        <v>8</v>
      </c>
      <c r="G56" s="115"/>
      <c r="I56" s="116"/>
      <c r="J56" s="25"/>
      <c r="K56" s="257"/>
      <c r="L56" s="258"/>
      <c r="M56" s="23" t="s">
        <v>8</v>
      </c>
      <c r="N56" s="115"/>
    </row>
    <row r="57" spans="2:19" ht="15" x14ac:dyDescent="0.2">
      <c r="B57" s="116"/>
      <c r="C57" s="25"/>
      <c r="D57" s="169"/>
      <c r="E57" s="170"/>
      <c r="F57" s="23" t="s">
        <v>9</v>
      </c>
      <c r="G57" s="115"/>
      <c r="I57" s="116"/>
      <c r="J57" s="25"/>
      <c r="K57" s="257"/>
      <c r="L57" s="258"/>
      <c r="M57" s="23" t="s">
        <v>9</v>
      </c>
      <c r="N57" s="115"/>
    </row>
    <row r="58" spans="2:19" ht="15" x14ac:dyDescent="0.2">
      <c r="B58" s="116"/>
      <c r="C58" s="25"/>
      <c r="D58" s="169"/>
      <c r="E58" s="170"/>
      <c r="F58" s="23" t="s">
        <v>3</v>
      </c>
      <c r="G58" s="115"/>
      <c r="I58" s="116"/>
      <c r="J58" s="25"/>
      <c r="K58" s="257"/>
      <c r="L58" s="258"/>
      <c r="M58" s="23" t="s">
        <v>3</v>
      </c>
      <c r="N58" s="115"/>
    </row>
    <row r="59" spans="2:19" ht="15.75" thickBot="1" x14ac:dyDescent="0.25">
      <c r="B59" s="117"/>
      <c r="C59" s="28"/>
      <c r="D59" s="171"/>
      <c r="E59" s="172"/>
      <c r="F59" s="30" t="s">
        <v>25</v>
      </c>
      <c r="G59" s="118"/>
      <c r="I59" s="117"/>
      <c r="J59" s="28"/>
      <c r="K59" s="29"/>
      <c r="L59" s="30"/>
      <c r="M59" s="30" t="s">
        <v>25</v>
      </c>
      <c r="N59" s="118"/>
    </row>
    <row r="60" spans="2:19" x14ac:dyDescent="0.2">
      <c r="B60" s="119"/>
      <c r="C60" s="104"/>
      <c r="D60" s="104"/>
      <c r="E60" s="104"/>
      <c r="F60" s="104"/>
      <c r="G60" s="115"/>
      <c r="I60" s="119"/>
      <c r="J60" s="104"/>
      <c r="K60" s="104"/>
      <c r="L60" s="104"/>
      <c r="M60" s="104"/>
      <c r="N60" s="115"/>
    </row>
    <row r="61" spans="2:19" ht="18.75" thickBot="1" x14ac:dyDescent="0.3">
      <c r="B61" s="110" t="s">
        <v>27</v>
      </c>
      <c r="C61" s="103"/>
      <c r="D61" s="103"/>
      <c r="E61" s="103"/>
      <c r="F61" s="103"/>
      <c r="G61" s="111"/>
      <c r="I61" s="110" t="s">
        <v>27</v>
      </c>
      <c r="J61" s="103"/>
      <c r="K61" s="103"/>
      <c r="L61" s="103"/>
      <c r="M61" s="103"/>
      <c r="N61" s="111"/>
    </row>
    <row r="62" spans="2:19" ht="31.5" x14ac:dyDescent="0.25">
      <c r="B62" s="112" t="s">
        <v>4</v>
      </c>
      <c r="C62" s="32"/>
      <c r="D62" s="32" t="s">
        <v>5</v>
      </c>
      <c r="E62" s="22"/>
      <c r="F62" s="22" t="s">
        <v>6</v>
      </c>
      <c r="G62" s="113" t="s">
        <v>24</v>
      </c>
      <c r="I62" s="112" t="s">
        <v>4</v>
      </c>
      <c r="J62" s="32"/>
      <c r="K62" s="32" t="s">
        <v>5</v>
      </c>
      <c r="L62" s="22"/>
      <c r="M62" s="22" t="s">
        <v>6</v>
      </c>
      <c r="N62" s="113" t="s">
        <v>24</v>
      </c>
    </row>
    <row r="63" spans="2:19" ht="15" x14ac:dyDescent="0.2">
      <c r="B63" s="114"/>
      <c r="C63" s="23"/>
      <c r="D63" s="24"/>
      <c r="E63" s="23"/>
      <c r="F63" s="23" t="s">
        <v>25</v>
      </c>
      <c r="G63" s="115"/>
      <c r="I63" s="114"/>
      <c r="J63" s="23"/>
      <c r="K63" s="24"/>
      <c r="L63" s="23"/>
      <c r="M63" s="23" t="s">
        <v>25</v>
      </c>
      <c r="N63" s="115"/>
    </row>
    <row r="64" spans="2:19" ht="15" x14ac:dyDescent="0.2">
      <c r="B64" s="116"/>
      <c r="C64" s="25"/>
      <c r="D64" s="26"/>
      <c r="E64" s="27"/>
      <c r="F64" s="23" t="s">
        <v>7</v>
      </c>
      <c r="G64" s="115"/>
      <c r="I64" s="116"/>
      <c r="J64" s="25"/>
      <c r="K64" s="26"/>
      <c r="L64" s="27"/>
      <c r="M64" s="23" t="s">
        <v>7</v>
      </c>
      <c r="N64" s="115"/>
    </row>
    <row r="65" spans="2:14" ht="15" x14ac:dyDescent="0.2">
      <c r="B65" s="116"/>
      <c r="C65" s="25"/>
      <c r="D65" s="26"/>
      <c r="E65" s="27"/>
      <c r="F65" s="23" t="s">
        <v>8</v>
      </c>
      <c r="G65" s="115"/>
      <c r="I65" s="116"/>
      <c r="J65" s="25"/>
      <c r="K65" s="26"/>
      <c r="L65" s="27"/>
      <c r="M65" s="23" t="s">
        <v>8</v>
      </c>
      <c r="N65" s="115"/>
    </row>
    <row r="66" spans="2:14" ht="15" x14ac:dyDescent="0.2">
      <c r="B66" s="116"/>
      <c r="C66" s="25"/>
      <c r="D66" s="26"/>
      <c r="E66" s="27"/>
      <c r="F66" s="23" t="s">
        <v>9</v>
      </c>
      <c r="G66" s="115"/>
      <c r="I66" s="116"/>
      <c r="J66" s="25"/>
      <c r="K66" s="26"/>
      <c r="L66" s="27"/>
      <c r="M66" s="23" t="s">
        <v>9</v>
      </c>
      <c r="N66" s="115"/>
    </row>
    <row r="67" spans="2:14" ht="15" x14ac:dyDescent="0.2">
      <c r="B67" s="116"/>
      <c r="C67" s="25"/>
      <c r="D67" s="26"/>
      <c r="E67" s="27"/>
      <c r="F67" s="23" t="s">
        <v>3</v>
      </c>
      <c r="G67" s="115"/>
      <c r="I67" s="116"/>
      <c r="J67" s="25"/>
      <c r="K67" s="26"/>
      <c r="L67" s="27"/>
      <c r="M67" s="23" t="s">
        <v>3</v>
      </c>
      <c r="N67" s="115"/>
    </row>
    <row r="68" spans="2:14" ht="15.75" thickBot="1" x14ac:dyDescent="0.25">
      <c r="B68" s="120"/>
      <c r="C68" s="121"/>
      <c r="D68" s="122"/>
      <c r="E68" s="123"/>
      <c r="F68" s="123" t="s">
        <v>25</v>
      </c>
      <c r="G68" s="124"/>
      <c r="I68" s="120"/>
      <c r="J68" s="121"/>
      <c r="K68" s="122"/>
      <c r="L68" s="123"/>
      <c r="M68" s="123" t="s">
        <v>25</v>
      </c>
      <c r="N68" s="124"/>
    </row>
    <row r="69" spans="2:14" ht="13.5" thickTop="1" x14ac:dyDescent="0.2"/>
  </sheetData>
  <mergeCells count="5">
    <mergeCell ref="K55:L55"/>
    <mergeCell ref="K56:L56"/>
    <mergeCell ref="K57:L57"/>
    <mergeCell ref="K58:L58"/>
    <mergeCell ref="N54:S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36"/>
  <sheetViews>
    <sheetView workbookViewId="0">
      <selection activeCell="M21" sqref="M21"/>
    </sheetView>
  </sheetViews>
  <sheetFormatPr defaultColWidth="8.85546875" defaultRowHeight="12.75" x14ac:dyDescent="0.2"/>
  <cols>
    <col min="1" max="1" width="13.42578125" style="8" customWidth="1"/>
    <col min="2" max="2" width="9.42578125" style="8" customWidth="1"/>
    <col min="3" max="3" width="11.7109375" style="11" customWidth="1"/>
    <col min="4" max="4" width="15.140625" style="11" customWidth="1"/>
    <col min="5" max="5" width="15.140625" style="16" customWidth="1"/>
    <col min="6" max="6" width="13.42578125" style="19" customWidth="1"/>
    <col min="7" max="7" width="12.85546875" style="10" customWidth="1"/>
    <col min="8" max="8" width="10.7109375" style="9" customWidth="1"/>
    <col min="9" max="9" width="17.28515625" style="8" customWidth="1"/>
    <col min="10" max="11" width="13" style="8" customWidth="1"/>
    <col min="12" max="16384" width="8.85546875" style="8"/>
  </cols>
  <sheetData>
    <row r="3" spans="1:9" ht="20.25" x14ac:dyDescent="0.3">
      <c r="A3" s="31" t="s">
        <v>28</v>
      </c>
      <c r="B3" s="31"/>
      <c r="C3"/>
      <c r="D3" s="36" t="str">
        <f>'META-DATA'!F2</f>
        <v>2018_UnivMD_Maryland_86896</v>
      </c>
      <c r="E3" s="31"/>
      <c r="F3"/>
    </row>
    <row r="4" spans="1:9" ht="20.25" x14ac:dyDescent="0.3">
      <c r="A4" s="31" t="s">
        <v>23</v>
      </c>
      <c r="B4" s="31"/>
      <c r="C4"/>
      <c r="D4" s="36">
        <f>'META-DATA'!F3</f>
        <v>1</v>
      </c>
      <c r="E4" s="31"/>
      <c r="F4"/>
    </row>
    <row r="8" spans="1:9" ht="47.25" x14ac:dyDescent="0.2">
      <c r="A8" s="3" t="s">
        <v>22</v>
      </c>
      <c r="B8" s="3" t="s">
        <v>48</v>
      </c>
      <c r="C8" s="3" t="s">
        <v>17</v>
      </c>
      <c r="D8" s="4" t="s">
        <v>35</v>
      </c>
      <c r="E8" s="4" t="s">
        <v>34</v>
      </c>
      <c r="F8" s="34" t="s">
        <v>15</v>
      </c>
      <c r="G8" s="6" t="s">
        <v>16</v>
      </c>
      <c r="H8" s="14" t="s">
        <v>19</v>
      </c>
      <c r="I8" s="17" t="s">
        <v>20</v>
      </c>
    </row>
    <row r="9" spans="1:9" ht="15.75" x14ac:dyDescent="0.2">
      <c r="A9" s="43">
        <f>'META-DATA'!A31:C31</f>
        <v>0</v>
      </c>
      <c r="B9" s="43">
        <f>'META-DATA'!G31</f>
        <v>0</v>
      </c>
      <c r="C9" s="12">
        <f>'META-DATA'!C31</f>
        <v>0</v>
      </c>
      <c r="D9" s="5">
        <f>'META-DATA'!O31</f>
        <v>0</v>
      </c>
      <c r="E9" s="5">
        <f>'META-DATA'!P31</f>
        <v>0</v>
      </c>
      <c r="F9" s="35">
        <f>'META-DATA'!AH31</f>
        <v>0</v>
      </c>
      <c r="G9" s="7">
        <f>'META-DATA'!AI31</f>
        <v>0</v>
      </c>
      <c r="H9" s="15">
        <f>'META-DATA'!S31</f>
        <v>0</v>
      </c>
      <c r="I9" s="18">
        <f>'META-DATA'!U31</f>
        <v>0</v>
      </c>
    </row>
    <row r="10" spans="1:9" ht="15.75" x14ac:dyDescent="0.2">
      <c r="A10" s="43">
        <f>'META-DATA'!A32:C32</f>
        <v>0</v>
      </c>
      <c r="B10" s="43">
        <f>'META-DATA'!G32</f>
        <v>0</v>
      </c>
      <c r="C10" s="12">
        <f>'META-DATA'!C32</f>
        <v>0</v>
      </c>
      <c r="D10" s="5">
        <f>'META-DATA'!O32</f>
        <v>0</v>
      </c>
      <c r="E10" s="5">
        <f>'META-DATA'!P32</f>
        <v>0</v>
      </c>
      <c r="F10" s="35">
        <f>'META-DATA'!AH32</f>
        <v>0</v>
      </c>
      <c r="G10" s="7">
        <f>'META-DATA'!AI32</f>
        <v>0</v>
      </c>
      <c r="H10" s="15">
        <f>'META-DATA'!S32</f>
        <v>0</v>
      </c>
      <c r="I10" s="18">
        <f>'META-DATA'!U32</f>
        <v>0</v>
      </c>
    </row>
    <row r="11" spans="1:9" ht="15.75" x14ac:dyDescent="0.2">
      <c r="A11" s="43">
        <f>'META-DATA'!A33:C33</f>
        <v>0</v>
      </c>
      <c r="B11" s="43">
        <f>'META-DATA'!G33</f>
        <v>0</v>
      </c>
      <c r="C11" s="12">
        <f>'META-DATA'!C33</f>
        <v>0</v>
      </c>
      <c r="D11" s="5">
        <f>'META-DATA'!O33</f>
        <v>0</v>
      </c>
      <c r="E11" s="5">
        <f>'META-DATA'!P33</f>
        <v>0</v>
      </c>
      <c r="F11" s="35">
        <f>'META-DATA'!AH33</f>
        <v>0</v>
      </c>
      <c r="G11" s="7">
        <f>'META-DATA'!AI33</f>
        <v>0</v>
      </c>
      <c r="H11" s="15">
        <f>'META-DATA'!S33</f>
        <v>0</v>
      </c>
      <c r="I11" s="18">
        <f>'META-DATA'!U33</f>
        <v>0</v>
      </c>
    </row>
    <row r="12" spans="1:9" ht="15.75" x14ac:dyDescent="0.2">
      <c r="A12" s="43">
        <f>'META-DATA'!A34:C34</f>
        <v>0</v>
      </c>
      <c r="B12" s="43">
        <f>'META-DATA'!G34</f>
        <v>0</v>
      </c>
      <c r="C12" s="12">
        <f>'META-DATA'!C34</f>
        <v>0</v>
      </c>
      <c r="D12" s="5">
        <f>'META-DATA'!O34</f>
        <v>0</v>
      </c>
      <c r="E12" s="5">
        <f>'META-DATA'!P34</f>
        <v>0</v>
      </c>
      <c r="F12" s="35">
        <f>'META-DATA'!AH34</f>
        <v>0</v>
      </c>
      <c r="G12" s="7">
        <f>'META-DATA'!AI34</f>
        <v>0</v>
      </c>
      <c r="H12" s="15">
        <f>'META-DATA'!S34</f>
        <v>0</v>
      </c>
      <c r="I12" s="18">
        <f>'META-DATA'!U34</f>
        <v>0</v>
      </c>
    </row>
    <row r="13" spans="1:9" ht="15.75" x14ac:dyDescent="0.2">
      <c r="A13" s="43">
        <f>'META-DATA'!A35:C35</f>
        <v>0</v>
      </c>
      <c r="B13" s="43">
        <f>'META-DATA'!G35</f>
        <v>0</v>
      </c>
      <c r="C13" s="12">
        <f>'META-DATA'!C35</f>
        <v>0</v>
      </c>
      <c r="D13" s="5">
        <f>'META-DATA'!O35</f>
        <v>0</v>
      </c>
      <c r="E13" s="5">
        <f>'META-DATA'!P35</f>
        <v>0</v>
      </c>
      <c r="F13" s="35">
        <f>'META-DATA'!AH35</f>
        <v>0</v>
      </c>
      <c r="G13" s="7">
        <f>'META-DATA'!AI35</f>
        <v>0</v>
      </c>
      <c r="H13" s="15">
        <f>'META-DATA'!S35</f>
        <v>0</v>
      </c>
      <c r="I13" s="18">
        <f>'META-DATA'!U35</f>
        <v>0</v>
      </c>
    </row>
    <row r="14" spans="1:9" ht="15.75" x14ac:dyDescent="0.2">
      <c r="A14" s="43">
        <f>'META-DATA'!A36:C36</f>
        <v>0</v>
      </c>
      <c r="B14" s="43">
        <f>'META-DATA'!G36</f>
        <v>0</v>
      </c>
      <c r="C14" s="12">
        <f>'META-DATA'!C36</f>
        <v>0</v>
      </c>
      <c r="D14" s="5">
        <f>'META-DATA'!O36</f>
        <v>0</v>
      </c>
      <c r="E14" s="5">
        <f>'META-DATA'!P36</f>
        <v>0</v>
      </c>
      <c r="F14" s="35">
        <f>'META-DATA'!AH36</f>
        <v>0</v>
      </c>
      <c r="G14" s="7">
        <f>'META-DATA'!AI36</f>
        <v>0</v>
      </c>
      <c r="H14" s="15">
        <f>'META-DATA'!S36</f>
        <v>0</v>
      </c>
      <c r="I14" s="18">
        <f>'META-DATA'!U36</f>
        <v>0</v>
      </c>
    </row>
    <row r="15" spans="1:9" ht="15.75" x14ac:dyDescent="0.2">
      <c r="A15" s="43">
        <f>'META-DATA'!A24:C24</f>
        <v>0</v>
      </c>
      <c r="B15" s="43">
        <f>'META-DATA'!G24</f>
        <v>0</v>
      </c>
      <c r="C15" s="12">
        <f>'META-DATA'!C24</f>
        <v>0</v>
      </c>
      <c r="D15" s="5">
        <f>'META-DATA'!O24</f>
        <v>0</v>
      </c>
      <c r="E15" s="5">
        <f>'META-DATA'!P24</f>
        <v>0</v>
      </c>
      <c r="F15" s="35">
        <f>'META-DATA'!AH24</f>
        <v>0</v>
      </c>
      <c r="G15" s="7">
        <f>'META-DATA'!AI24</f>
        <v>0</v>
      </c>
      <c r="H15" s="15">
        <f>'META-DATA'!S24</f>
        <v>0</v>
      </c>
      <c r="I15" s="18">
        <f>'META-DATA'!U24</f>
        <v>0</v>
      </c>
    </row>
    <row r="16" spans="1:9" ht="15.75" x14ac:dyDescent="0.2">
      <c r="A16" s="43">
        <f>'META-DATA'!A25:C25</f>
        <v>0</v>
      </c>
      <c r="B16" s="43">
        <f>'META-DATA'!G25</f>
        <v>0</v>
      </c>
      <c r="C16" s="12">
        <f>'META-DATA'!C25</f>
        <v>0</v>
      </c>
      <c r="D16" s="5">
        <f>'META-DATA'!O25</f>
        <v>0</v>
      </c>
      <c r="E16" s="5">
        <f>'META-DATA'!P25</f>
        <v>0</v>
      </c>
      <c r="F16" s="35">
        <f>'META-DATA'!AH25</f>
        <v>0</v>
      </c>
      <c r="G16" s="7">
        <f>'META-DATA'!AI25</f>
        <v>0</v>
      </c>
      <c r="H16" s="15">
        <f>'META-DATA'!S25</f>
        <v>0</v>
      </c>
      <c r="I16" s="18">
        <f>'META-DATA'!U25</f>
        <v>0</v>
      </c>
    </row>
    <row r="17" spans="1:9" ht="15.75" x14ac:dyDescent="0.2">
      <c r="A17" s="43">
        <f>'META-DATA'!A26:C26</f>
        <v>0</v>
      </c>
      <c r="B17" s="43">
        <f>'META-DATA'!G26</f>
        <v>0</v>
      </c>
      <c r="C17" s="12">
        <f>'META-DATA'!C26</f>
        <v>0</v>
      </c>
      <c r="D17" s="5">
        <f>'META-DATA'!O26</f>
        <v>0</v>
      </c>
      <c r="E17" s="5">
        <f>'META-DATA'!P26</f>
        <v>0</v>
      </c>
      <c r="F17" s="35">
        <f>'META-DATA'!AH26</f>
        <v>0</v>
      </c>
      <c r="G17" s="7">
        <f>'META-DATA'!AI26</f>
        <v>0</v>
      </c>
      <c r="H17" s="15">
        <f>'META-DATA'!S26</f>
        <v>0</v>
      </c>
      <c r="I17" s="18">
        <f>'META-DATA'!U26</f>
        <v>0</v>
      </c>
    </row>
    <row r="18" spans="1:9" ht="15.75" x14ac:dyDescent="0.2">
      <c r="A18" s="43">
        <f>'META-DATA'!A27:C27</f>
        <v>0</v>
      </c>
      <c r="B18" s="43">
        <f>'META-DATA'!G27</f>
        <v>0</v>
      </c>
      <c r="C18" s="12">
        <f>'META-DATA'!C27</f>
        <v>0</v>
      </c>
      <c r="D18" s="5">
        <f>'META-DATA'!O27</f>
        <v>0</v>
      </c>
      <c r="E18" s="5">
        <f>'META-DATA'!P27</f>
        <v>0</v>
      </c>
      <c r="F18" s="35">
        <f>'META-DATA'!AH27</f>
        <v>0</v>
      </c>
      <c r="G18" s="7">
        <f>'META-DATA'!AI27</f>
        <v>0</v>
      </c>
      <c r="H18" s="15">
        <f>'META-DATA'!S27</f>
        <v>0</v>
      </c>
      <c r="I18" s="18">
        <f>'META-DATA'!U27</f>
        <v>0</v>
      </c>
    </row>
    <row r="19" spans="1:9" ht="15.75" x14ac:dyDescent="0.2">
      <c r="A19" s="43">
        <f>'META-DATA'!A28:C28</f>
        <v>0</v>
      </c>
      <c r="B19" s="43">
        <f>'META-DATA'!G28</f>
        <v>0</v>
      </c>
      <c r="C19" s="12">
        <f>'META-DATA'!C28</f>
        <v>0</v>
      </c>
      <c r="D19" s="5">
        <f>'META-DATA'!O28</f>
        <v>0</v>
      </c>
      <c r="E19" s="5">
        <f>'META-DATA'!P28</f>
        <v>0</v>
      </c>
      <c r="F19" s="35">
        <f>'META-DATA'!AH28</f>
        <v>0</v>
      </c>
      <c r="G19" s="7">
        <f>'META-DATA'!AI28</f>
        <v>0</v>
      </c>
      <c r="H19" s="15">
        <f>'META-DATA'!S28</f>
        <v>0</v>
      </c>
      <c r="I19" s="18">
        <f>'META-DATA'!U28</f>
        <v>0</v>
      </c>
    </row>
    <row r="20" spans="1:9" ht="15.75" x14ac:dyDescent="0.2">
      <c r="A20" s="43">
        <f>'META-DATA'!A30:C30</f>
        <v>0</v>
      </c>
      <c r="B20" s="43">
        <f>'META-DATA'!G30</f>
        <v>0</v>
      </c>
      <c r="C20" s="12">
        <f>'META-DATA'!C30</f>
        <v>0</v>
      </c>
      <c r="D20" s="5">
        <f>'META-DATA'!O30</f>
        <v>0</v>
      </c>
      <c r="E20" s="5">
        <f>'META-DATA'!P30</f>
        <v>0</v>
      </c>
      <c r="F20" s="35">
        <f>'META-DATA'!AH30</f>
        <v>0</v>
      </c>
      <c r="G20" s="7">
        <f>'META-DATA'!AI30</f>
        <v>0</v>
      </c>
      <c r="H20" s="15">
        <f>'META-DATA'!S30</f>
        <v>0</v>
      </c>
      <c r="I20" s="18">
        <f>'META-DATA'!U30</f>
        <v>0</v>
      </c>
    </row>
    <row r="21" spans="1:9" ht="15.75" x14ac:dyDescent="0.2">
      <c r="A21" s="43">
        <f>'META-DATA'!A19:C19</f>
        <v>0</v>
      </c>
      <c r="B21" s="43">
        <f>'META-DATA'!G19</f>
        <v>0</v>
      </c>
      <c r="C21" s="12">
        <f>'META-DATA'!C19</f>
        <v>0</v>
      </c>
      <c r="D21" s="5">
        <f>'META-DATA'!O19</f>
        <v>0</v>
      </c>
      <c r="E21" s="5">
        <f>'META-DATA'!P19</f>
        <v>0</v>
      </c>
      <c r="F21" s="35">
        <f>'META-DATA'!AH19</f>
        <v>0</v>
      </c>
      <c r="G21" s="7">
        <f>'META-DATA'!AI19</f>
        <v>0</v>
      </c>
      <c r="H21" s="15">
        <f>'META-DATA'!S19</f>
        <v>0</v>
      </c>
      <c r="I21" s="18">
        <f>'META-DATA'!U19</f>
        <v>0</v>
      </c>
    </row>
    <row r="22" spans="1:9" ht="15.75" x14ac:dyDescent="0.2">
      <c r="A22" s="43">
        <f>'META-DATA'!A20:C20</f>
        <v>0</v>
      </c>
      <c r="B22" s="43">
        <f>'META-DATA'!G20</f>
        <v>0</v>
      </c>
      <c r="C22" s="12">
        <f>'META-DATA'!C20</f>
        <v>0</v>
      </c>
      <c r="D22" s="5">
        <f>'META-DATA'!O20</f>
        <v>0</v>
      </c>
      <c r="E22" s="5">
        <f>'META-DATA'!P20</f>
        <v>0</v>
      </c>
      <c r="F22" s="35">
        <f>'META-DATA'!AH20</f>
        <v>0</v>
      </c>
      <c r="G22" s="7">
        <f>'META-DATA'!AI20</f>
        <v>0</v>
      </c>
      <c r="H22" s="15">
        <f>'META-DATA'!S20</f>
        <v>0</v>
      </c>
      <c r="I22" s="18">
        <f>'META-DATA'!U20</f>
        <v>0</v>
      </c>
    </row>
    <row r="23" spans="1:9" ht="15.75" x14ac:dyDescent="0.2">
      <c r="A23" s="43">
        <f>'META-DATA'!A21:C21</f>
        <v>0</v>
      </c>
      <c r="B23" s="43">
        <f>'META-DATA'!G21</f>
        <v>0</v>
      </c>
      <c r="C23" s="12">
        <f>'META-DATA'!C21</f>
        <v>0</v>
      </c>
      <c r="D23" s="5">
        <f>'META-DATA'!O21</f>
        <v>0</v>
      </c>
      <c r="E23" s="5">
        <f>'META-DATA'!P21</f>
        <v>0</v>
      </c>
      <c r="F23" s="35">
        <f>'META-DATA'!AH21</f>
        <v>0</v>
      </c>
      <c r="G23" s="7">
        <f>'META-DATA'!AI21</f>
        <v>0</v>
      </c>
      <c r="H23" s="15">
        <f>'META-DATA'!S21</f>
        <v>0</v>
      </c>
      <c r="I23" s="18">
        <f>'META-DATA'!U21</f>
        <v>0</v>
      </c>
    </row>
    <row r="24" spans="1:9" ht="15.75" x14ac:dyDescent="0.2">
      <c r="A24" s="43">
        <f>'META-DATA'!A22:C22</f>
        <v>0</v>
      </c>
      <c r="B24" s="43">
        <f>'META-DATA'!G22</f>
        <v>0</v>
      </c>
      <c r="C24" s="12">
        <f>'META-DATA'!C22</f>
        <v>0</v>
      </c>
      <c r="D24" s="5">
        <f>'META-DATA'!O22</f>
        <v>0</v>
      </c>
      <c r="E24" s="5">
        <f>'META-DATA'!P22</f>
        <v>0</v>
      </c>
      <c r="F24" s="35">
        <f>'META-DATA'!AH22</f>
        <v>0</v>
      </c>
      <c r="G24" s="7">
        <f>'META-DATA'!AI22</f>
        <v>0</v>
      </c>
      <c r="H24" s="15">
        <f>'META-DATA'!S22</f>
        <v>0</v>
      </c>
      <c r="I24" s="18">
        <f>'META-DATA'!U22</f>
        <v>0</v>
      </c>
    </row>
    <row r="25" spans="1:9" ht="15.75" x14ac:dyDescent="0.2">
      <c r="A25" s="43">
        <f>'META-DATA'!A23:C23</f>
        <v>0</v>
      </c>
      <c r="B25" s="43">
        <f>'META-DATA'!G23</f>
        <v>0</v>
      </c>
      <c r="C25" s="12">
        <f>'META-DATA'!C23</f>
        <v>0</v>
      </c>
      <c r="D25" s="5">
        <f>'META-DATA'!O23</f>
        <v>0</v>
      </c>
      <c r="E25" s="5">
        <f>'META-DATA'!P23</f>
        <v>0</v>
      </c>
      <c r="F25" s="35">
        <f>'META-DATA'!AH23</f>
        <v>0</v>
      </c>
      <c r="G25" s="7">
        <f>'META-DATA'!AI23</f>
        <v>0</v>
      </c>
      <c r="H25" s="15">
        <f>'META-DATA'!S23</f>
        <v>0</v>
      </c>
      <c r="I25" s="18">
        <f>'META-DATA'!U23</f>
        <v>0</v>
      </c>
    </row>
    <row r="26" spans="1:9" ht="15.75" x14ac:dyDescent="0.2">
      <c r="A26" s="43">
        <f>'META-DATA'!A16:C16</f>
        <v>0</v>
      </c>
      <c r="B26" s="43">
        <f>'META-DATA'!G16</f>
        <v>0</v>
      </c>
      <c r="C26" s="12">
        <f>'META-DATA'!C16</f>
        <v>0</v>
      </c>
      <c r="D26" s="5">
        <f>'META-DATA'!O16</f>
        <v>0</v>
      </c>
      <c r="E26" s="5">
        <f>'META-DATA'!P16</f>
        <v>0</v>
      </c>
      <c r="F26" s="35">
        <f>'META-DATA'!AH16</f>
        <v>0</v>
      </c>
      <c r="G26" s="7">
        <f>'META-DATA'!AI16</f>
        <v>0</v>
      </c>
      <c r="H26" s="15">
        <f>'META-DATA'!S16</f>
        <v>0</v>
      </c>
      <c r="I26" s="18">
        <f>'META-DATA'!U16</f>
        <v>0</v>
      </c>
    </row>
    <row r="27" spans="1:9" ht="15.75" x14ac:dyDescent="0.2">
      <c r="A27" s="43">
        <f>'META-DATA'!A17:C17</f>
        <v>0</v>
      </c>
      <c r="B27" s="43">
        <f>'META-DATA'!G17</f>
        <v>0</v>
      </c>
      <c r="C27" s="12">
        <f>'META-DATA'!C17</f>
        <v>0</v>
      </c>
      <c r="D27" s="5">
        <f>'META-DATA'!O17</f>
        <v>0</v>
      </c>
      <c r="E27" s="5">
        <f>'META-DATA'!P17</f>
        <v>0</v>
      </c>
      <c r="F27" s="35">
        <f>'META-DATA'!AH17</f>
        <v>0</v>
      </c>
      <c r="G27" s="7">
        <f>'META-DATA'!AI17</f>
        <v>0</v>
      </c>
      <c r="H27" s="15">
        <f>'META-DATA'!S17</f>
        <v>0</v>
      </c>
      <c r="I27" s="18">
        <f>'META-DATA'!U17</f>
        <v>0</v>
      </c>
    </row>
    <row r="28" spans="1:9" ht="15.75" x14ac:dyDescent="0.2">
      <c r="A28" s="43">
        <f>'META-DATA'!A18:C18</f>
        <v>0</v>
      </c>
      <c r="B28" s="43">
        <f>'META-DATA'!G18</f>
        <v>0</v>
      </c>
      <c r="C28" s="12">
        <f>'META-DATA'!C18</f>
        <v>0</v>
      </c>
      <c r="D28" s="5">
        <f>'META-DATA'!O18</f>
        <v>0</v>
      </c>
      <c r="E28" s="5">
        <f>'META-DATA'!P18</f>
        <v>0</v>
      </c>
      <c r="F28" s="35">
        <f>'META-DATA'!AH18</f>
        <v>0</v>
      </c>
      <c r="G28" s="7">
        <f>'META-DATA'!AI18</f>
        <v>0</v>
      </c>
      <c r="H28" s="15">
        <f>'META-DATA'!S18</f>
        <v>0</v>
      </c>
      <c r="I28" s="18">
        <f>'META-DATA'!U18</f>
        <v>0</v>
      </c>
    </row>
    <row r="29" spans="1:9" ht="15.75" x14ac:dyDescent="0.2">
      <c r="A29" s="43" t="str">
        <f>'META-DATA'!A10:C10</f>
        <v>UMD</v>
      </c>
      <c r="B29" s="43" t="str">
        <f>'META-DATA'!G10</f>
        <v>M1</v>
      </c>
      <c r="C29" s="12">
        <f>'META-DATA'!C10</f>
        <v>168</v>
      </c>
      <c r="D29" s="5">
        <f>'META-DATA'!O10</f>
        <v>38.370310000000003</v>
      </c>
      <c r="E29" s="5">
        <f>'META-DATA'!P10</f>
        <v>-74.753839999999997</v>
      </c>
      <c r="F29" s="35">
        <f>'META-DATA'!AH10</f>
        <v>43388</v>
      </c>
      <c r="G29" s="7">
        <f>'META-DATA'!AI10</f>
        <v>0.55084490740740744</v>
      </c>
      <c r="H29" s="15">
        <f>'META-DATA'!S10</f>
        <v>134121</v>
      </c>
      <c r="I29" s="18">
        <f>'META-DATA'!U10</f>
        <v>0</v>
      </c>
    </row>
    <row r="30" spans="1:9" ht="15.75" x14ac:dyDescent="0.2">
      <c r="A30" s="43" t="str">
        <f>'META-DATA'!A11:C11</f>
        <v>UMD</v>
      </c>
      <c r="B30" s="43" t="str">
        <f>'META-DATA'!G11</f>
        <v>M2</v>
      </c>
      <c r="C30" s="12">
        <f>'META-DATA'!C11</f>
        <v>89</v>
      </c>
      <c r="D30" s="5">
        <f>'META-DATA'!O11</f>
        <v>38.353050000000003</v>
      </c>
      <c r="E30" s="5">
        <f>'META-DATA'!P11</f>
        <v>-74.730900000000005</v>
      </c>
      <c r="F30" s="35">
        <f>'META-DATA'!AH11</f>
        <v>43388</v>
      </c>
      <c r="G30" s="7">
        <f>'META-DATA'!AI11</f>
        <v>0.59321759259259255</v>
      </c>
      <c r="H30" s="15">
        <f>'META-DATA'!S11</f>
        <v>134136</v>
      </c>
      <c r="I30" s="18">
        <f>'META-DATA'!U11</f>
        <v>0</v>
      </c>
    </row>
    <row r="31" spans="1:9" ht="15.75" x14ac:dyDescent="0.2">
      <c r="A31" s="43" t="str">
        <f>'META-DATA'!A12:C12</f>
        <v>UMD</v>
      </c>
      <c r="B31" s="43" t="str">
        <f>'META-DATA'!G12</f>
        <v>M3</v>
      </c>
      <c r="C31" s="12">
        <f>'META-DATA'!C12</f>
        <v>188</v>
      </c>
      <c r="D31" s="5">
        <f>'META-DATA'!O12</f>
        <v>38.334519999999998</v>
      </c>
      <c r="E31" s="5">
        <f>'META-DATA'!P12</f>
        <v>-74.753690000000006</v>
      </c>
      <c r="F31" s="35">
        <f>'META-DATA'!AH12</f>
        <v>43388</v>
      </c>
      <c r="G31" s="7">
        <f>'META-DATA'!AI12</f>
        <v>0.63559027777777777</v>
      </c>
      <c r="H31" s="15">
        <f>'META-DATA'!S12</f>
        <v>134126</v>
      </c>
      <c r="I31" s="18">
        <f>'META-DATA'!U12</f>
        <v>0</v>
      </c>
    </row>
    <row r="32" spans="1:9" ht="15.75" x14ac:dyDescent="0.2">
      <c r="A32" s="43" t="str">
        <f>'META-DATA'!A13:C13</f>
        <v>UMD</v>
      </c>
      <c r="B32" s="43" t="str">
        <f>'META-DATA'!G13</f>
        <v>M4</v>
      </c>
      <c r="C32" s="12">
        <f>'META-DATA'!C13</f>
        <v>142</v>
      </c>
      <c r="D32" s="5">
        <f>'META-DATA'!O13</f>
        <v>38.352789999999999</v>
      </c>
      <c r="E32" s="5">
        <f>'META-DATA'!P13</f>
        <v>-74.776349999999994</v>
      </c>
      <c r="F32" s="35">
        <f>'META-DATA'!AH13</f>
        <v>43388</v>
      </c>
      <c r="G32" s="7">
        <f>'META-DATA'!AI13</f>
        <v>0.50847222222222221</v>
      </c>
      <c r="H32" s="15">
        <f>'META-DATA'!S13</f>
        <v>134132</v>
      </c>
      <c r="I32" s="18">
        <f>'META-DATA'!U13</f>
        <v>0</v>
      </c>
    </row>
    <row r="33" spans="1:9" ht="15.75" x14ac:dyDescent="0.2">
      <c r="A33" s="43">
        <f>'META-DATA'!A14:C14</f>
        <v>0</v>
      </c>
      <c r="B33" s="43">
        <f>'META-DATA'!G14</f>
        <v>0</v>
      </c>
      <c r="C33" s="12">
        <f>'META-DATA'!C14</f>
        <v>0</v>
      </c>
      <c r="D33" s="5">
        <f>'META-DATA'!O14</f>
        <v>0</v>
      </c>
      <c r="E33" s="5">
        <f>'META-DATA'!P14</f>
        <v>0</v>
      </c>
      <c r="F33" s="35">
        <f>'META-DATA'!AH14</f>
        <v>0</v>
      </c>
      <c r="G33" s="7">
        <f>'META-DATA'!AI14</f>
        <v>0</v>
      </c>
      <c r="H33" s="15">
        <f>'META-DATA'!S14</f>
        <v>0</v>
      </c>
      <c r="I33" s="18">
        <f>'META-DATA'!U14</f>
        <v>0</v>
      </c>
    </row>
    <row r="34" spans="1:9" ht="15.75" x14ac:dyDescent="0.2">
      <c r="A34" s="43">
        <f>'META-DATA'!A15:C15</f>
        <v>0</v>
      </c>
      <c r="B34" s="43">
        <f>'META-DATA'!G15</f>
        <v>0</v>
      </c>
      <c r="C34" s="12">
        <f>'META-DATA'!C15</f>
        <v>0</v>
      </c>
      <c r="D34" s="5">
        <f>'META-DATA'!O15</f>
        <v>0</v>
      </c>
      <c r="E34" s="5">
        <f>'META-DATA'!P15</f>
        <v>0</v>
      </c>
      <c r="F34" s="35">
        <f>'META-DATA'!AH15</f>
        <v>0</v>
      </c>
      <c r="G34" s="7">
        <f>'META-DATA'!AI15</f>
        <v>0</v>
      </c>
      <c r="H34" s="15">
        <f>'META-DATA'!S15</f>
        <v>0</v>
      </c>
      <c r="I34" s="18">
        <f>'META-DATA'!U15</f>
        <v>0</v>
      </c>
    </row>
    <row r="35" spans="1:9" ht="15.75" x14ac:dyDescent="0.2">
      <c r="A35" s="43" t="e">
        <f>'META-DATA'!A37:C124</f>
        <v>#VALUE!</v>
      </c>
      <c r="B35" s="43" t="e">
        <f>'META-DATA'!#REF!</f>
        <v>#REF!</v>
      </c>
      <c r="C35" s="12" t="e">
        <f>'META-DATA'!#REF!</f>
        <v>#REF!</v>
      </c>
      <c r="D35" s="5" t="e">
        <f>'META-DATA'!#REF!</f>
        <v>#REF!</v>
      </c>
      <c r="E35" s="5" t="e">
        <f>'META-DATA'!#REF!</f>
        <v>#REF!</v>
      </c>
      <c r="F35" s="35" t="e">
        <f>'META-DATA'!#REF!</f>
        <v>#REF!</v>
      </c>
      <c r="G35" s="7" t="e">
        <f>'META-DATA'!#REF!</f>
        <v>#REF!</v>
      </c>
      <c r="H35" s="15" t="e">
        <f>'META-DATA'!#REF!</f>
        <v>#REF!</v>
      </c>
      <c r="I35" s="18" t="e">
        <f>'META-DATA'!#REF!</f>
        <v>#REF!</v>
      </c>
    </row>
    <row r="36" spans="1:9" ht="15.75" x14ac:dyDescent="0.2">
      <c r="A36" s="43" t="e">
        <f>'META-DATA'!#REF!</f>
        <v>#REF!</v>
      </c>
      <c r="B36" s="43" t="e">
        <f>'META-DATA'!#REF!</f>
        <v>#REF!</v>
      </c>
      <c r="C36" s="12" t="e">
        <f>'META-DATA'!#REF!</f>
        <v>#REF!</v>
      </c>
      <c r="D36" s="5" t="e">
        <f>'META-DATA'!#REF!</f>
        <v>#REF!</v>
      </c>
      <c r="E36" s="5" t="e">
        <f>'META-DATA'!#REF!</f>
        <v>#REF!</v>
      </c>
      <c r="F36" s="35" t="e">
        <f>'META-DATA'!#REF!</f>
        <v>#REF!</v>
      </c>
      <c r="G36" s="7" t="e">
        <f>'META-DATA'!#REF!</f>
        <v>#REF!</v>
      </c>
      <c r="H36" s="15" t="e">
        <f>'META-DATA'!#REF!</f>
        <v>#REF!</v>
      </c>
      <c r="I36" s="18" t="e">
        <f>'META-DATA'!#REF!</f>
        <v>#REF!</v>
      </c>
    </row>
    <row r="37" spans="1:9" ht="15.75" x14ac:dyDescent="0.2">
      <c r="A37" s="43" t="e">
        <f>'META-DATA'!#REF!</f>
        <v>#REF!</v>
      </c>
      <c r="B37" s="43" t="e">
        <f>'META-DATA'!#REF!</f>
        <v>#REF!</v>
      </c>
      <c r="C37" s="12" t="e">
        <f>'META-DATA'!#REF!</f>
        <v>#REF!</v>
      </c>
      <c r="D37" s="5" t="e">
        <f>'META-DATA'!#REF!</f>
        <v>#REF!</v>
      </c>
      <c r="E37" s="5" t="e">
        <f>'META-DATA'!#REF!</f>
        <v>#REF!</v>
      </c>
      <c r="F37" s="35" t="e">
        <f>'META-DATA'!#REF!</f>
        <v>#REF!</v>
      </c>
      <c r="G37" s="7" t="e">
        <f>'META-DATA'!#REF!</f>
        <v>#REF!</v>
      </c>
      <c r="H37" s="15" t="e">
        <f>'META-DATA'!#REF!</f>
        <v>#REF!</v>
      </c>
      <c r="I37" s="18" t="e">
        <f>'META-DATA'!#REF!</f>
        <v>#REF!</v>
      </c>
    </row>
    <row r="38" spans="1:9" ht="15.75" x14ac:dyDescent="0.2">
      <c r="A38" s="43" t="e">
        <f>'META-DATA'!#REF!</f>
        <v>#REF!</v>
      </c>
      <c r="B38" s="43" t="e">
        <f>'META-DATA'!#REF!</f>
        <v>#REF!</v>
      </c>
      <c r="C38" s="12" t="e">
        <f>'META-DATA'!#REF!</f>
        <v>#REF!</v>
      </c>
      <c r="D38" s="5" t="e">
        <f>'META-DATA'!#REF!</f>
        <v>#REF!</v>
      </c>
      <c r="E38" s="5" t="e">
        <f>'META-DATA'!#REF!</f>
        <v>#REF!</v>
      </c>
      <c r="F38" s="35" t="e">
        <f>'META-DATA'!#REF!</f>
        <v>#REF!</v>
      </c>
      <c r="G38" s="7" t="e">
        <f>'META-DATA'!#REF!</f>
        <v>#REF!</v>
      </c>
      <c r="H38" s="15" t="e">
        <f>'META-DATA'!#REF!</f>
        <v>#REF!</v>
      </c>
      <c r="I38" s="18" t="e">
        <f>'META-DATA'!#REF!</f>
        <v>#REF!</v>
      </c>
    </row>
    <row r="39" spans="1:9" ht="15.75" x14ac:dyDescent="0.2">
      <c r="A39" s="43" t="e">
        <f>'META-DATA'!#REF!</f>
        <v>#REF!</v>
      </c>
      <c r="B39" s="43" t="e">
        <f>'META-DATA'!#REF!</f>
        <v>#REF!</v>
      </c>
      <c r="C39" s="12" t="e">
        <f>'META-DATA'!#REF!</f>
        <v>#REF!</v>
      </c>
      <c r="D39" s="5" t="e">
        <f>'META-DATA'!#REF!</f>
        <v>#REF!</v>
      </c>
      <c r="E39" s="5" t="e">
        <f>'META-DATA'!#REF!</f>
        <v>#REF!</v>
      </c>
      <c r="F39" s="35" t="e">
        <f>'META-DATA'!#REF!</f>
        <v>#REF!</v>
      </c>
      <c r="G39" s="7" t="e">
        <f>'META-DATA'!#REF!</f>
        <v>#REF!</v>
      </c>
      <c r="H39" s="15" t="e">
        <f>'META-DATA'!#REF!</f>
        <v>#REF!</v>
      </c>
      <c r="I39" s="18" t="e">
        <f>'META-DATA'!#REF!</f>
        <v>#REF!</v>
      </c>
    </row>
    <row r="40" spans="1:9" ht="15.75" x14ac:dyDescent="0.2">
      <c r="A40" s="43" t="e">
        <f>'META-DATA'!#REF!</f>
        <v>#REF!</v>
      </c>
      <c r="B40" s="43" t="e">
        <f>'META-DATA'!#REF!</f>
        <v>#REF!</v>
      </c>
      <c r="C40" s="12" t="e">
        <f>'META-DATA'!#REF!</f>
        <v>#REF!</v>
      </c>
      <c r="D40" s="5" t="e">
        <f>'META-DATA'!#REF!</f>
        <v>#REF!</v>
      </c>
      <c r="E40" s="5" t="e">
        <f>'META-DATA'!#REF!</f>
        <v>#REF!</v>
      </c>
      <c r="F40" s="35" t="e">
        <f>'META-DATA'!#REF!</f>
        <v>#REF!</v>
      </c>
      <c r="G40" s="7" t="e">
        <f>'META-DATA'!#REF!</f>
        <v>#REF!</v>
      </c>
      <c r="H40" s="15" t="e">
        <f>'META-DATA'!#REF!</f>
        <v>#REF!</v>
      </c>
      <c r="I40" s="18" t="e">
        <f>'META-DATA'!#REF!</f>
        <v>#REF!</v>
      </c>
    </row>
    <row r="41" spans="1:9" ht="15.75" x14ac:dyDescent="0.2">
      <c r="A41" s="43" t="e">
        <f>'META-DATA'!#REF!</f>
        <v>#REF!</v>
      </c>
      <c r="B41" s="43" t="e">
        <f>'META-DATA'!#REF!</f>
        <v>#REF!</v>
      </c>
      <c r="C41" s="12" t="e">
        <f>'META-DATA'!#REF!</f>
        <v>#REF!</v>
      </c>
      <c r="D41" s="5" t="e">
        <f>'META-DATA'!#REF!</f>
        <v>#REF!</v>
      </c>
      <c r="E41" s="5" t="e">
        <f>'META-DATA'!#REF!</f>
        <v>#REF!</v>
      </c>
      <c r="F41" s="35" t="e">
        <f>'META-DATA'!#REF!</f>
        <v>#REF!</v>
      </c>
      <c r="G41" s="7" t="e">
        <f>'META-DATA'!#REF!</f>
        <v>#REF!</v>
      </c>
      <c r="H41" s="15" t="e">
        <f>'META-DATA'!#REF!</f>
        <v>#REF!</v>
      </c>
      <c r="I41" s="18" t="e">
        <f>'META-DATA'!#REF!</f>
        <v>#REF!</v>
      </c>
    </row>
    <row r="42" spans="1:9" ht="15.75" x14ac:dyDescent="0.2">
      <c r="A42" s="43" t="e">
        <f>'META-DATA'!#REF!</f>
        <v>#REF!</v>
      </c>
      <c r="B42" s="43" t="e">
        <f>'META-DATA'!#REF!</f>
        <v>#REF!</v>
      </c>
      <c r="C42" s="12" t="e">
        <f>'META-DATA'!#REF!</f>
        <v>#REF!</v>
      </c>
      <c r="D42" s="5" t="e">
        <f>'META-DATA'!#REF!</f>
        <v>#REF!</v>
      </c>
      <c r="E42" s="5" t="e">
        <f>'META-DATA'!#REF!</f>
        <v>#REF!</v>
      </c>
      <c r="F42" s="35" t="e">
        <f>'META-DATA'!#REF!</f>
        <v>#REF!</v>
      </c>
      <c r="G42" s="7" t="e">
        <f>'META-DATA'!#REF!</f>
        <v>#REF!</v>
      </c>
      <c r="H42" s="15" t="e">
        <f>'META-DATA'!#REF!</f>
        <v>#REF!</v>
      </c>
      <c r="I42" s="18" t="e">
        <f>'META-DATA'!#REF!</f>
        <v>#REF!</v>
      </c>
    </row>
    <row r="43" spans="1:9" x14ac:dyDescent="0.2">
      <c r="E43" s="11"/>
      <c r="F43" s="33"/>
      <c r="G43" s="9"/>
    </row>
    <row r="44" spans="1:9" x14ac:dyDescent="0.2">
      <c r="E44" s="11"/>
      <c r="F44" s="33"/>
      <c r="G44" s="9"/>
    </row>
    <row r="45" spans="1:9" x14ac:dyDescent="0.2">
      <c r="E45" s="11"/>
      <c r="F45" s="33"/>
      <c r="G45" s="9"/>
    </row>
    <row r="46" spans="1:9" x14ac:dyDescent="0.2">
      <c r="E46" s="11"/>
      <c r="F46" s="33"/>
      <c r="G46" s="9"/>
    </row>
    <row r="47" spans="1:9" x14ac:dyDescent="0.2">
      <c r="E47" s="11"/>
      <c r="F47" s="33"/>
      <c r="G47" s="9"/>
    </row>
    <row r="48" spans="1:9" x14ac:dyDescent="0.2">
      <c r="E48" s="11"/>
      <c r="F48" s="33"/>
      <c r="G48" s="9"/>
    </row>
    <row r="49" spans="5:7" x14ac:dyDescent="0.2">
      <c r="E49" s="11"/>
      <c r="F49" s="33"/>
      <c r="G49" s="9"/>
    </row>
    <row r="50" spans="5:7" x14ac:dyDescent="0.2">
      <c r="E50" s="11"/>
      <c r="F50" s="33"/>
      <c r="G50" s="9"/>
    </row>
    <row r="51" spans="5:7" x14ac:dyDescent="0.2">
      <c r="E51" s="11"/>
      <c r="F51" s="33"/>
      <c r="G51" s="9"/>
    </row>
    <row r="52" spans="5:7" x14ac:dyDescent="0.2">
      <c r="E52" s="11"/>
      <c r="F52" s="33"/>
      <c r="G52" s="9"/>
    </row>
    <row r="53" spans="5:7" x14ac:dyDescent="0.2">
      <c r="E53" s="11"/>
      <c r="F53" s="33"/>
      <c r="G53" s="9"/>
    </row>
    <row r="54" spans="5:7" x14ac:dyDescent="0.2">
      <c r="E54" s="11"/>
      <c r="F54" s="33"/>
      <c r="G54" s="9"/>
    </row>
    <row r="55" spans="5:7" x14ac:dyDescent="0.2">
      <c r="E55" s="11"/>
      <c r="F55" s="33"/>
      <c r="G55" s="9"/>
    </row>
    <row r="56" spans="5:7" x14ac:dyDescent="0.2">
      <c r="E56" s="11"/>
      <c r="F56" s="33"/>
      <c r="G56" s="9"/>
    </row>
    <row r="57" spans="5:7" x14ac:dyDescent="0.2">
      <c r="E57" s="11"/>
      <c r="F57" s="33"/>
      <c r="G57" s="9"/>
    </row>
    <row r="58" spans="5:7" x14ac:dyDescent="0.2">
      <c r="E58" s="11"/>
      <c r="F58" s="33"/>
      <c r="G58" s="9"/>
    </row>
    <row r="59" spans="5:7" x14ac:dyDescent="0.2">
      <c r="E59" s="11"/>
      <c r="F59" s="33"/>
      <c r="G59" s="9"/>
    </row>
    <row r="60" spans="5:7" x14ac:dyDescent="0.2">
      <c r="E60" s="11"/>
      <c r="F60" s="33"/>
      <c r="G60" s="9"/>
    </row>
    <row r="61" spans="5:7" x14ac:dyDescent="0.2">
      <c r="E61" s="11"/>
      <c r="F61" s="33"/>
      <c r="G61" s="9"/>
    </row>
    <row r="62" spans="5:7" x14ac:dyDescent="0.2">
      <c r="E62" s="11"/>
      <c r="F62" s="33"/>
      <c r="G62" s="9"/>
    </row>
    <row r="63" spans="5:7" x14ac:dyDescent="0.2">
      <c r="E63" s="11"/>
      <c r="F63" s="33"/>
      <c r="G63" s="9"/>
    </row>
    <row r="64" spans="5:7" x14ac:dyDescent="0.2">
      <c r="E64" s="11"/>
      <c r="F64" s="33"/>
      <c r="G64" s="9"/>
    </row>
    <row r="65" spans="5:7" x14ac:dyDescent="0.2">
      <c r="E65" s="11"/>
      <c r="F65" s="33"/>
      <c r="G65" s="9"/>
    </row>
    <row r="66" spans="5:7" x14ac:dyDescent="0.2">
      <c r="E66" s="11"/>
      <c r="F66" s="33"/>
      <c r="G66" s="9"/>
    </row>
    <row r="67" spans="5:7" x14ac:dyDescent="0.2">
      <c r="E67" s="11"/>
      <c r="F67" s="33"/>
      <c r="G67" s="9"/>
    </row>
    <row r="68" spans="5:7" x14ac:dyDescent="0.2">
      <c r="E68" s="11"/>
      <c r="F68" s="33"/>
      <c r="G68" s="9"/>
    </row>
    <row r="69" spans="5:7" x14ac:dyDescent="0.2">
      <c r="E69" s="11"/>
      <c r="F69" s="33"/>
      <c r="G69" s="9"/>
    </row>
    <row r="70" spans="5:7" x14ac:dyDescent="0.2">
      <c r="E70" s="11"/>
      <c r="F70" s="33"/>
      <c r="G70" s="9"/>
    </row>
    <row r="71" spans="5:7" x14ac:dyDescent="0.2">
      <c r="E71" s="11"/>
      <c r="F71" s="33"/>
      <c r="G71" s="9"/>
    </row>
    <row r="72" spans="5:7" x14ac:dyDescent="0.2">
      <c r="E72" s="11"/>
      <c r="F72" s="33"/>
      <c r="G72" s="9"/>
    </row>
    <row r="73" spans="5:7" x14ac:dyDescent="0.2">
      <c r="E73" s="11"/>
      <c r="F73" s="33"/>
      <c r="G73" s="9"/>
    </row>
    <row r="74" spans="5:7" x14ac:dyDescent="0.2">
      <c r="E74" s="11"/>
      <c r="F74" s="33"/>
      <c r="G74" s="9"/>
    </row>
    <row r="75" spans="5:7" x14ac:dyDescent="0.2">
      <c r="E75" s="11"/>
      <c r="F75" s="33"/>
      <c r="G75" s="9"/>
    </row>
    <row r="76" spans="5:7" x14ac:dyDescent="0.2">
      <c r="E76" s="11"/>
      <c r="F76" s="33"/>
      <c r="G76" s="9"/>
    </row>
    <row r="77" spans="5:7" x14ac:dyDescent="0.2">
      <c r="E77" s="11"/>
      <c r="F77" s="33"/>
      <c r="G77" s="9"/>
    </row>
    <row r="78" spans="5:7" x14ac:dyDescent="0.2">
      <c r="E78" s="11"/>
      <c r="F78" s="33"/>
      <c r="G78" s="9"/>
    </row>
    <row r="79" spans="5:7" x14ac:dyDescent="0.2">
      <c r="E79" s="11"/>
      <c r="F79" s="33"/>
      <c r="G79" s="9"/>
    </row>
    <row r="80" spans="5:7" x14ac:dyDescent="0.2">
      <c r="E80" s="11"/>
      <c r="F80" s="33"/>
      <c r="G80" s="9"/>
    </row>
    <row r="81" spans="5:7" x14ac:dyDescent="0.2">
      <c r="E81" s="11"/>
      <c r="F81" s="33"/>
      <c r="G81" s="9"/>
    </row>
    <row r="82" spans="5:7" x14ac:dyDescent="0.2">
      <c r="E82" s="11"/>
      <c r="F82" s="33"/>
      <c r="G82" s="9"/>
    </row>
    <row r="83" spans="5:7" x14ac:dyDescent="0.2">
      <c r="E83" s="11"/>
      <c r="F83" s="33"/>
      <c r="G83" s="9"/>
    </row>
    <row r="84" spans="5:7" x14ac:dyDescent="0.2">
      <c r="E84" s="11"/>
      <c r="F84" s="33"/>
      <c r="G84" s="9"/>
    </row>
    <row r="85" spans="5:7" x14ac:dyDescent="0.2">
      <c r="E85" s="11"/>
      <c r="F85" s="33"/>
      <c r="G85" s="9"/>
    </row>
    <row r="86" spans="5:7" x14ac:dyDescent="0.2">
      <c r="E86" s="11"/>
      <c r="F86" s="33"/>
      <c r="G86" s="9"/>
    </row>
    <row r="87" spans="5:7" x14ac:dyDescent="0.2">
      <c r="E87" s="11"/>
      <c r="F87" s="33"/>
      <c r="G87" s="9"/>
    </row>
    <row r="88" spans="5:7" x14ac:dyDescent="0.2">
      <c r="E88" s="11"/>
      <c r="F88" s="33"/>
      <c r="G88" s="9"/>
    </row>
    <row r="89" spans="5:7" x14ac:dyDescent="0.2">
      <c r="E89" s="11"/>
      <c r="F89" s="33"/>
      <c r="G89" s="9"/>
    </row>
    <row r="90" spans="5:7" x14ac:dyDescent="0.2">
      <c r="E90" s="11"/>
      <c r="F90" s="33"/>
      <c r="G90" s="9"/>
    </row>
    <row r="91" spans="5:7" x14ac:dyDescent="0.2">
      <c r="E91" s="11"/>
      <c r="F91" s="33"/>
      <c r="G91" s="9"/>
    </row>
    <row r="92" spans="5:7" x14ac:dyDescent="0.2">
      <c r="E92" s="11"/>
      <c r="F92" s="33"/>
      <c r="G92" s="9"/>
    </row>
    <row r="93" spans="5:7" x14ac:dyDescent="0.2">
      <c r="E93" s="11"/>
      <c r="F93" s="33"/>
      <c r="G93" s="9"/>
    </row>
    <row r="94" spans="5:7" x14ac:dyDescent="0.2">
      <c r="E94" s="11"/>
      <c r="F94" s="33"/>
      <c r="G94" s="9"/>
    </row>
    <row r="95" spans="5:7" x14ac:dyDescent="0.2">
      <c r="E95" s="11"/>
      <c r="F95" s="33"/>
      <c r="G95" s="9"/>
    </row>
    <row r="96" spans="5:7" x14ac:dyDescent="0.2">
      <c r="E96" s="11"/>
      <c r="F96" s="33"/>
      <c r="G96" s="9"/>
    </row>
    <row r="97" spans="5:7" x14ac:dyDescent="0.2">
      <c r="E97" s="11"/>
      <c r="F97" s="33"/>
      <c r="G97" s="9"/>
    </row>
    <row r="98" spans="5:7" x14ac:dyDescent="0.2">
      <c r="E98" s="11"/>
      <c r="F98" s="33"/>
      <c r="G98" s="9"/>
    </row>
    <row r="99" spans="5:7" x14ac:dyDescent="0.2">
      <c r="E99" s="11"/>
      <c r="F99" s="33"/>
      <c r="G99" s="9"/>
    </row>
    <row r="100" spans="5:7" x14ac:dyDescent="0.2">
      <c r="E100" s="11"/>
      <c r="F100" s="33"/>
      <c r="G100" s="9"/>
    </row>
    <row r="101" spans="5:7" x14ac:dyDescent="0.2">
      <c r="E101" s="11"/>
      <c r="F101" s="33"/>
      <c r="G101" s="9"/>
    </row>
    <row r="102" spans="5:7" x14ac:dyDescent="0.2">
      <c r="E102" s="11"/>
      <c r="F102" s="33"/>
      <c r="G102" s="9"/>
    </row>
    <row r="103" spans="5:7" x14ac:dyDescent="0.2">
      <c r="E103" s="11"/>
      <c r="F103" s="33"/>
      <c r="G103" s="9"/>
    </row>
    <row r="104" spans="5:7" x14ac:dyDescent="0.2">
      <c r="E104" s="11"/>
      <c r="F104" s="33"/>
      <c r="G104" s="9"/>
    </row>
    <row r="105" spans="5:7" x14ac:dyDescent="0.2">
      <c r="E105" s="11"/>
      <c r="F105" s="33"/>
      <c r="G105" s="9"/>
    </row>
    <row r="106" spans="5:7" x14ac:dyDescent="0.2">
      <c r="E106" s="11"/>
      <c r="F106" s="33"/>
      <c r="G106" s="9"/>
    </row>
    <row r="107" spans="5:7" x14ac:dyDescent="0.2">
      <c r="E107" s="11"/>
      <c r="F107" s="33"/>
      <c r="G107" s="9"/>
    </row>
    <row r="108" spans="5:7" x14ac:dyDescent="0.2">
      <c r="E108" s="11"/>
      <c r="F108" s="33"/>
      <c r="G108" s="9"/>
    </row>
    <row r="109" spans="5:7" x14ac:dyDescent="0.2">
      <c r="E109" s="11"/>
      <c r="F109" s="33"/>
      <c r="G109" s="9"/>
    </row>
    <row r="110" spans="5:7" x14ac:dyDescent="0.2">
      <c r="E110" s="11"/>
      <c r="F110" s="33"/>
      <c r="G110" s="9"/>
    </row>
    <row r="111" spans="5:7" x14ac:dyDescent="0.2">
      <c r="E111" s="11"/>
      <c r="F111" s="33"/>
      <c r="G111" s="9"/>
    </row>
    <row r="112" spans="5:7" x14ac:dyDescent="0.2">
      <c r="E112" s="11"/>
      <c r="F112" s="33"/>
      <c r="G112" s="9"/>
    </row>
    <row r="113" spans="5:7" x14ac:dyDescent="0.2">
      <c r="E113" s="11"/>
      <c r="F113" s="33"/>
      <c r="G113" s="9"/>
    </row>
    <row r="114" spans="5:7" x14ac:dyDescent="0.2">
      <c r="E114" s="11"/>
      <c r="F114" s="33"/>
      <c r="G114" s="9"/>
    </row>
    <row r="115" spans="5:7" x14ac:dyDescent="0.2">
      <c r="E115" s="11"/>
      <c r="F115" s="33"/>
      <c r="G115" s="9"/>
    </row>
    <row r="116" spans="5:7" x14ac:dyDescent="0.2">
      <c r="E116" s="11"/>
      <c r="F116" s="33"/>
      <c r="G116" s="9"/>
    </row>
    <row r="117" spans="5:7" x14ac:dyDescent="0.2">
      <c r="E117" s="11"/>
      <c r="F117" s="33"/>
      <c r="G117" s="9"/>
    </row>
    <row r="118" spans="5:7" x14ac:dyDescent="0.2">
      <c r="E118" s="11"/>
      <c r="F118" s="33"/>
      <c r="G118" s="9"/>
    </row>
    <row r="119" spans="5:7" x14ac:dyDescent="0.2">
      <c r="E119" s="11"/>
      <c r="F119" s="33"/>
      <c r="G119" s="9"/>
    </row>
    <row r="120" spans="5:7" x14ac:dyDescent="0.2">
      <c r="E120" s="11"/>
      <c r="F120" s="33"/>
      <c r="G120" s="9"/>
    </row>
    <row r="121" spans="5:7" x14ac:dyDescent="0.2">
      <c r="E121" s="11"/>
      <c r="F121" s="33"/>
      <c r="G121" s="9"/>
    </row>
    <row r="122" spans="5:7" x14ac:dyDescent="0.2">
      <c r="E122" s="11"/>
      <c r="F122" s="33"/>
      <c r="G122" s="9"/>
    </row>
    <row r="123" spans="5:7" x14ac:dyDescent="0.2">
      <c r="E123" s="11"/>
      <c r="F123" s="33"/>
      <c r="G123" s="9"/>
    </row>
    <row r="124" spans="5:7" x14ac:dyDescent="0.2">
      <c r="E124" s="11"/>
      <c r="F124" s="33"/>
      <c r="G124" s="9"/>
    </row>
    <row r="125" spans="5:7" x14ac:dyDescent="0.2">
      <c r="E125" s="11"/>
      <c r="F125" s="33"/>
      <c r="G125" s="9"/>
    </row>
    <row r="126" spans="5:7" x14ac:dyDescent="0.2">
      <c r="E126" s="11"/>
      <c r="F126" s="33"/>
      <c r="G126" s="9"/>
    </row>
    <row r="127" spans="5:7" x14ac:dyDescent="0.2">
      <c r="E127" s="11"/>
      <c r="F127" s="33"/>
      <c r="G127" s="9"/>
    </row>
    <row r="128" spans="5:7" x14ac:dyDescent="0.2">
      <c r="E128" s="11"/>
      <c r="F128" s="33"/>
      <c r="G128" s="9"/>
    </row>
    <row r="129" spans="5:7" x14ac:dyDescent="0.2">
      <c r="E129" s="11"/>
      <c r="F129" s="33"/>
      <c r="G129" s="9"/>
    </row>
    <row r="130" spans="5:7" x14ac:dyDescent="0.2">
      <c r="E130" s="11"/>
      <c r="F130" s="33"/>
      <c r="G130" s="9"/>
    </row>
    <row r="131" spans="5:7" x14ac:dyDescent="0.2">
      <c r="F131" s="33"/>
      <c r="G131" s="9"/>
    </row>
    <row r="132" spans="5:7" x14ac:dyDescent="0.2">
      <c r="F132" s="33"/>
      <c r="G132" s="9"/>
    </row>
    <row r="133" spans="5:7" x14ac:dyDescent="0.2">
      <c r="F133" s="33"/>
      <c r="G133" s="9"/>
    </row>
    <row r="134" spans="5:7" x14ac:dyDescent="0.2">
      <c r="F134" s="33"/>
      <c r="G134" s="9"/>
    </row>
    <row r="135" spans="5:7" x14ac:dyDescent="0.2">
      <c r="F135" s="33"/>
      <c r="G135" s="9"/>
    </row>
    <row r="136" spans="5:7" x14ac:dyDescent="0.2">
      <c r="F136" s="33"/>
      <c r="G136" s="9"/>
    </row>
  </sheetData>
  <autoFilter ref="A8:I42">
    <sortState ref="A9:I42">
      <sortCondition ref="B8:B42"/>
    </sortState>
  </autoFilter>
  <sortState ref="A9:I41">
    <sortCondition ref="A9:A41"/>
    <sortCondition ref="B9:B4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5"/>
  <sheetViews>
    <sheetView tabSelected="1" topLeftCell="A2" zoomScale="106" zoomScaleNormal="106" zoomScaleSheetLayoutView="96" zoomScalePageLayoutView="106" workbookViewId="0">
      <selection activeCell="E4" sqref="E4"/>
    </sheetView>
  </sheetViews>
  <sheetFormatPr defaultColWidth="10.42578125" defaultRowHeight="12.75" x14ac:dyDescent="0.2"/>
  <cols>
    <col min="1" max="1" width="11.7109375" style="50" bestFit="1" customWidth="1"/>
    <col min="2" max="2" width="20.85546875" style="51" bestFit="1" customWidth="1"/>
    <col min="3" max="3" width="12.28515625" style="51" bestFit="1" customWidth="1"/>
    <col min="4" max="4" width="19.85546875" style="51" bestFit="1" customWidth="1"/>
    <col min="5" max="5" width="28" style="52" bestFit="1" customWidth="1"/>
    <col min="6" max="6" width="26.7109375" style="52" bestFit="1" customWidth="1"/>
    <col min="7" max="7" width="10.85546875" style="51" bestFit="1" customWidth="1"/>
    <col min="8" max="8" width="12.85546875" style="51" bestFit="1" customWidth="1"/>
    <col min="9" max="9" width="18.140625" style="51" bestFit="1" customWidth="1"/>
    <col min="10" max="10" width="20.7109375" style="51" bestFit="1" customWidth="1"/>
    <col min="11" max="11" width="19.85546875" style="51" bestFit="1" customWidth="1"/>
    <col min="12" max="12" width="9.140625" style="51" bestFit="1" customWidth="1"/>
    <col min="13" max="13" width="27.7109375" style="51" bestFit="1" customWidth="1"/>
    <col min="14" max="14" width="27.85546875" style="51" bestFit="1" customWidth="1"/>
    <col min="15" max="15" width="26.28515625" style="54" bestFit="1" customWidth="1"/>
    <col min="16" max="16" width="28.140625" style="54" bestFit="1" customWidth="1"/>
    <col min="17" max="17" width="26" style="54" bestFit="1" customWidth="1"/>
    <col min="18" max="18" width="39" style="55" bestFit="1" customWidth="1"/>
    <col min="19" max="19" width="8.7109375" style="56" customWidth="1"/>
    <col min="20" max="20" width="8.7109375" style="56" bestFit="1" customWidth="1"/>
    <col min="21" max="21" width="15.28515625" style="57" bestFit="1" customWidth="1"/>
    <col min="22" max="22" width="22.28515625" style="59" bestFit="1" customWidth="1"/>
    <col min="23" max="23" width="16.85546875" style="58" bestFit="1" customWidth="1"/>
    <col min="24" max="24" width="24" style="70" bestFit="1" customWidth="1"/>
    <col min="25" max="25" width="22.140625" style="59" bestFit="1" customWidth="1"/>
    <col min="26" max="26" width="12.42578125" style="58" bestFit="1" customWidth="1"/>
    <col min="27" max="27" width="27.85546875" style="70" bestFit="1" customWidth="1"/>
    <col min="28" max="28" width="23.42578125" style="59" bestFit="1" customWidth="1"/>
    <col min="29" max="29" width="14.28515625" style="58" bestFit="1" customWidth="1"/>
    <col min="30" max="30" width="25.28515625" style="70" bestFit="1" customWidth="1"/>
    <col min="31" max="31" width="23.28515625" style="59" bestFit="1" customWidth="1"/>
    <col min="32" max="32" width="16.7109375" style="58" bestFit="1" customWidth="1"/>
    <col min="33" max="33" width="23.85546875" style="70" bestFit="1" customWidth="1"/>
    <col min="34" max="34" width="23.7109375" style="59" bestFit="1" customWidth="1"/>
    <col min="35" max="35" width="16.140625" style="58" bestFit="1" customWidth="1"/>
    <col min="36" max="36" width="18.85546875" style="70" bestFit="1" customWidth="1"/>
    <col min="37" max="37" width="65.85546875" style="236" bestFit="1" customWidth="1"/>
    <col min="38" max="38" width="49.85546875" style="51" customWidth="1"/>
    <col min="39" max="39" width="22" style="51" bestFit="1" customWidth="1"/>
    <col min="40" max="16384" width="10.42578125" style="51"/>
  </cols>
  <sheetData>
    <row r="1" spans="1:39" s="226" customFormat="1" ht="96" customHeight="1" x14ac:dyDescent="0.2">
      <c r="A1" s="211" t="s">
        <v>81</v>
      </c>
      <c r="B1" s="211" t="s">
        <v>82</v>
      </c>
      <c r="C1" s="211" t="s">
        <v>83</v>
      </c>
      <c r="D1" s="211" t="s">
        <v>84</v>
      </c>
      <c r="E1" s="211" t="s">
        <v>85</v>
      </c>
      <c r="F1" s="211" t="s">
        <v>86</v>
      </c>
      <c r="G1" s="212" t="s">
        <v>87</v>
      </c>
      <c r="H1" s="232" t="s">
        <v>115</v>
      </c>
      <c r="I1" s="212" t="s">
        <v>88</v>
      </c>
      <c r="J1" s="212" t="s">
        <v>89</v>
      </c>
      <c r="K1" s="212" t="s">
        <v>90</v>
      </c>
      <c r="L1" s="212" t="s">
        <v>91</v>
      </c>
      <c r="M1" s="212" t="s">
        <v>92</v>
      </c>
      <c r="N1" s="212" t="s">
        <v>93</v>
      </c>
      <c r="O1" s="213" t="s">
        <v>94</v>
      </c>
      <c r="P1" s="213" t="s">
        <v>95</v>
      </c>
      <c r="Q1" s="214" t="s">
        <v>96</v>
      </c>
      <c r="R1" s="214" t="s">
        <v>97</v>
      </c>
      <c r="S1" s="215" t="s">
        <v>98</v>
      </c>
      <c r="T1" s="215" t="s">
        <v>100</v>
      </c>
      <c r="U1" s="216" t="s">
        <v>116</v>
      </c>
      <c r="V1" s="217" t="s">
        <v>101</v>
      </c>
      <c r="W1" s="218" t="s">
        <v>102</v>
      </c>
      <c r="X1" s="219" t="s">
        <v>103</v>
      </c>
      <c r="Y1" s="217" t="s">
        <v>104</v>
      </c>
      <c r="Z1" s="218" t="s">
        <v>105</v>
      </c>
      <c r="AA1" s="219" t="s">
        <v>106</v>
      </c>
      <c r="AB1" s="220" t="s">
        <v>107</v>
      </c>
      <c r="AC1" s="221" t="s">
        <v>108</v>
      </c>
      <c r="AD1" s="222" t="s">
        <v>109</v>
      </c>
      <c r="AE1" s="220" t="s">
        <v>110</v>
      </c>
      <c r="AF1" s="221" t="s">
        <v>111</v>
      </c>
      <c r="AG1" s="222" t="s">
        <v>112</v>
      </c>
      <c r="AH1" s="223" t="s">
        <v>117</v>
      </c>
      <c r="AI1" s="224" t="s">
        <v>118</v>
      </c>
      <c r="AJ1" s="233" t="s">
        <v>119</v>
      </c>
      <c r="AK1" s="234" t="s">
        <v>113</v>
      </c>
      <c r="AL1" s="225" t="s">
        <v>114</v>
      </c>
      <c r="AM1" s="226" t="s">
        <v>121</v>
      </c>
    </row>
    <row r="2" spans="1:39" s="2" customFormat="1" ht="15.75" customHeight="1" x14ac:dyDescent="0.2">
      <c r="A2" s="75" t="str">
        <f>'META-DATA'!A10</f>
        <v>UMD</v>
      </c>
      <c r="B2" s="75" t="str">
        <f>'META-DATA'!B10</f>
        <v>V2.5 Popup</v>
      </c>
      <c r="C2" s="75">
        <f>'META-DATA'!C10</f>
        <v>168</v>
      </c>
      <c r="D2" s="75" t="str">
        <f>'META-DATA'!D10</f>
        <v>CompactFlash</v>
      </c>
      <c r="E2" s="75">
        <f>'META-DATA'!E10</f>
        <v>3164</v>
      </c>
      <c r="F2" s="75">
        <f>'META-DATA'!F10</f>
        <v>0</v>
      </c>
      <c r="G2" s="75" t="str">
        <f>'META-DATA'!G10</f>
        <v>M1</v>
      </c>
      <c r="H2" s="75">
        <f>'META-DATA'!H10</f>
        <v>16</v>
      </c>
      <c r="I2" s="75">
        <f>'META-DATA'!I10</f>
        <v>16000</v>
      </c>
      <c r="J2" s="75">
        <f>'META-DATA'!J10</f>
        <v>10</v>
      </c>
      <c r="K2" s="75">
        <f>'META-DATA'!K10</f>
        <v>6400</v>
      </c>
      <c r="L2" s="75">
        <f>'META-DATA'!L10</f>
        <v>23.5</v>
      </c>
      <c r="M2" s="75">
        <f>'META-DATA'!M10</f>
        <v>0</v>
      </c>
      <c r="N2" s="75">
        <f>'META-DATA'!N10</f>
        <v>0</v>
      </c>
      <c r="O2" s="75">
        <f>'META-DATA'!O10</f>
        <v>38.370310000000003</v>
      </c>
      <c r="P2" s="75">
        <f>'META-DATA'!P10</f>
        <v>-74.753839999999997</v>
      </c>
      <c r="Q2" s="75">
        <f>'META-DATA'!Q10</f>
        <v>27</v>
      </c>
      <c r="R2" s="75" t="str">
        <f>'META-DATA'!R10</f>
        <v>S</v>
      </c>
      <c r="S2" s="75">
        <f>'META-DATA'!S10</f>
        <v>134121</v>
      </c>
      <c r="T2" s="75">
        <f>'META-DATA'!T10</f>
        <v>0</v>
      </c>
      <c r="U2" s="75">
        <f>'META-DATA'!U10</f>
        <v>0</v>
      </c>
      <c r="V2" s="80">
        <f>IF('META-DATA'!V10="",47484,'META-DATA'!V10)</f>
        <v>43292</v>
      </c>
      <c r="W2" s="175">
        <f>'META-DATA'!W10</f>
        <v>0.52575231481481477</v>
      </c>
      <c r="X2" s="75">
        <f>'META-DATA'!X10</f>
        <v>0</v>
      </c>
      <c r="Y2" s="80">
        <f>IF('META-DATA'!Y10="",47484,'META-DATA'!Y10)</f>
        <v>43293</v>
      </c>
      <c r="Z2" s="175">
        <f>'META-DATA'!Z10</f>
        <v>0.7104166666666667</v>
      </c>
      <c r="AA2" s="75">
        <f>'META-DATA'!AA10</f>
        <v>0</v>
      </c>
      <c r="AB2" s="80">
        <f>IF('META-DATA'!AB10="",47484,'META-DATA'!AB10)</f>
        <v>43333</v>
      </c>
      <c r="AC2" s="175">
        <f>'META-DATA'!AC10</f>
        <v>0.52916666666666667</v>
      </c>
      <c r="AD2" s="75">
        <f>'META-DATA'!AD10</f>
        <v>0</v>
      </c>
      <c r="AE2" s="80">
        <f>IF('META-DATA'!AE10="",47484,'META-DATA'!AE10)</f>
        <v>47484</v>
      </c>
      <c r="AF2" s="175">
        <f>'META-DATA'!AF10</f>
        <v>0</v>
      </c>
      <c r="AG2" s="75">
        <f>'META-DATA'!AG10</f>
        <v>0</v>
      </c>
      <c r="AH2" s="80">
        <f>IF('META-DATA'!AH10="",47484,'META-DATA'!AH10)</f>
        <v>43388</v>
      </c>
      <c r="AI2" s="175">
        <f>'META-DATA'!AI10</f>
        <v>0.55084490740740744</v>
      </c>
      <c r="AJ2" s="75">
        <f>'META-DATA'!AJ10</f>
        <v>0</v>
      </c>
      <c r="AK2" s="235" t="str">
        <f>IF('META-DATA'!AK10="","",'META-DATA'!AK10)</f>
        <v/>
      </c>
      <c r="AL2" s="75" t="str">
        <f>'META-DATA'!AL10</f>
        <v>2018_UnivMD_Maryland_86896_Dep01_20180711</v>
      </c>
      <c r="AM2" s="2" t="str">
        <f>IF('META-DATA'!$J$4="frc29","Channell_Fred_frc29",'META-DATA'!$J$4)</f>
        <v>Channell_Fred_frc29</v>
      </c>
    </row>
    <row r="3" spans="1:39" s="2" customFormat="1" ht="15.75" customHeight="1" x14ac:dyDescent="0.2">
      <c r="A3" s="75" t="str">
        <f>'META-DATA'!A11</f>
        <v>UMD</v>
      </c>
      <c r="B3" s="75" t="str">
        <f>'META-DATA'!B11</f>
        <v>V2.5 Popup</v>
      </c>
      <c r="C3" s="75">
        <f>'META-DATA'!C11</f>
        <v>89</v>
      </c>
      <c r="D3" s="75" t="str">
        <f>'META-DATA'!D11</f>
        <v>CompactFlash</v>
      </c>
      <c r="E3" s="75">
        <f>'META-DATA'!E11</f>
        <v>3156</v>
      </c>
      <c r="F3" s="75">
        <f>'META-DATA'!F11</f>
        <v>0</v>
      </c>
      <c r="G3" s="75" t="str">
        <f>'META-DATA'!G11</f>
        <v>M2</v>
      </c>
      <c r="H3" s="75">
        <f>'META-DATA'!H11</f>
        <v>16</v>
      </c>
      <c r="I3" s="75">
        <f>'META-DATA'!I11</f>
        <v>16000</v>
      </c>
      <c r="J3" s="75">
        <f>'META-DATA'!J11</f>
        <v>10</v>
      </c>
      <c r="K3" s="75">
        <f>'META-DATA'!K11</f>
        <v>6400</v>
      </c>
      <c r="L3" s="75">
        <f>'META-DATA'!L11</f>
        <v>23.5</v>
      </c>
      <c r="M3" s="75">
        <f>'META-DATA'!M11</f>
        <v>0</v>
      </c>
      <c r="N3" s="75">
        <f>'META-DATA'!N11</f>
        <v>0</v>
      </c>
      <c r="O3" s="75">
        <f>'META-DATA'!O11</f>
        <v>38.353050000000003</v>
      </c>
      <c r="P3" s="75">
        <f>'META-DATA'!P11</f>
        <v>-74.730900000000005</v>
      </c>
      <c r="Q3" s="75">
        <f>'META-DATA'!Q11</f>
        <v>27</v>
      </c>
      <c r="R3" s="75" t="str">
        <f>'META-DATA'!R11</f>
        <v>S</v>
      </c>
      <c r="S3" s="75">
        <f>'META-DATA'!S11</f>
        <v>134136</v>
      </c>
      <c r="T3" s="75">
        <f>'META-DATA'!T11</f>
        <v>0</v>
      </c>
      <c r="U3" s="75">
        <f>'META-DATA'!U11</f>
        <v>0</v>
      </c>
      <c r="V3" s="80">
        <f>IF('META-DATA'!V11="",47484,'META-DATA'!V11)</f>
        <v>43292</v>
      </c>
      <c r="W3" s="175">
        <f>'META-DATA'!W11</f>
        <v>0.53015046296296298</v>
      </c>
      <c r="X3" s="75">
        <f>'META-DATA'!X11</f>
        <v>0</v>
      </c>
      <c r="Y3" s="80">
        <f>IF('META-DATA'!Y11="",47484,'META-DATA'!Y11)</f>
        <v>43293</v>
      </c>
      <c r="Z3" s="175">
        <f>'META-DATA'!Z11</f>
        <v>0.71805555555555556</v>
      </c>
      <c r="AA3" s="75">
        <f>'META-DATA'!AA11</f>
        <v>0</v>
      </c>
      <c r="AB3" s="80">
        <f>IF('META-DATA'!AB11="",47484,'META-DATA'!AB11)</f>
        <v>43333</v>
      </c>
      <c r="AC3" s="175">
        <f>'META-DATA'!AC11</f>
        <v>0.55277777777777781</v>
      </c>
      <c r="AD3" s="75">
        <f>'META-DATA'!AD11</f>
        <v>0</v>
      </c>
      <c r="AE3" s="80">
        <f>IF('META-DATA'!AE11="",47484,'META-DATA'!AE11)</f>
        <v>47484</v>
      </c>
      <c r="AF3" s="175">
        <f>'META-DATA'!AF11</f>
        <v>0</v>
      </c>
      <c r="AG3" s="75">
        <f>'META-DATA'!AG11</f>
        <v>0</v>
      </c>
      <c r="AH3" s="80">
        <f>IF('META-DATA'!AH11="",47484,'META-DATA'!AH11)</f>
        <v>43388</v>
      </c>
      <c r="AI3" s="175">
        <f>'META-DATA'!AI11</f>
        <v>0.59321759259259255</v>
      </c>
      <c r="AJ3" s="75">
        <f>'META-DATA'!AJ11</f>
        <v>0</v>
      </c>
      <c r="AK3" s="235" t="str">
        <f>IF('META-DATA'!AK11="","",'META-DATA'!AK11)</f>
        <v>CTD# S7958</v>
      </c>
      <c r="AL3" s="75" t="str">
        <f>'META-DATA'!AL11</f>
        <v>2018_UnivMD_Maryland_86896_Dep01_20180711</v>
      </c>
      <c r="AM3" s="2" t="str">
        <f>IF('META-DATA'!$J$4="frc29","Channell_Fred_frc29",'META-DATA'!$J$4)</f>
        <v>Channell_Fred_frc29</v>
      </c>
    </row>
    <row r="4" spans="1:39" s="2" customFormat="1" ht="15.75" customHeight="1" x14ac:dyDescent="0.2">
      <c r="A4" s="75" t="str">
        <f>'META-DATA'!A12</f>
        <v>UMD</v>
      </c>
      <c r="B4" s="75" t="str">
        <f>'META-DATA'!B12</f>
        <v>V2.5 Popup</v>
      </c>
      <c r="C4" s="75">
        <f>'META-DATA'!C12</f>
        <v>188</v>
      </c>
      <c r="D4" s="75" t="str">
        <f>'META-DATA'!D12</f>
        <v>CompactFlash</v>
      </c>
      <c r="E4" s="75">
        <f>'META-DATA'!E12</f>
        <v>3168</v>
      </c>
      <c r="F4" s="75">
        <f>'META-DATA'!F12</f>
        <v>0</v>
      </c>
      <c r="G4" s="75" t="str">
        <f>'META-DATA'!G12</f>
        <v>M3</v>
      </c>
      <c r="H4" s="75">
        <f>'META-DATA'!H12</f>
        <v>16</v>
      </c>
      <c r="I4" s="75">
        <f>'META-DATA'!I12</f>
        <v>16000</v>
      </c>
      <c r="J4" s="75">
        <f>'META-DATA'!J12</f>
        <v>10</v>
      </c>
      <c r="K4" s="75">
        <f>'META-DATA'!K12</f>
        <v>6400</v>
      </c>
      <c r="L4" s="75">
        <f>'META-DATA'!L12</f>
        <v>23.5</v>
      </c>
      <c r="M4" s="75">
        <f>'META-DATA'!M12</f>
        <v>0</v>
      </c>
      <c r="N4" s="75">
        <f>'META-DATA'!N12</f>
        <v>0</v>
      </c>
      <c r="O4" s="75">
        <f>'META-DATA'!O12</f>
        <v>38.334519999999998</v>
      </c>
      <c r="P4" s="75">
        <f>'META-DATA'!P12</f>
        <v>-74.753690000000006</v>
      </c>
      <c r="Q4" s="75">
        <f>'META-DATA'!Q12</f>
        <v>25</v>
      </c>
      <c r="R4" s="75" t="str">
        <f>'META-DATA'!R12</f>
        <v>S</v>
      </c>
      <c r="S4" s="75">
        <f>'META-DATA'!S12</f>
        <v>134126</v>
      </c>
      <c r="T4" s="75">
        <f>'META-DATA'!T12</f>
        <v>0</v>
      </c>
      <c r="U4" s="75">
        <f>'META-DATA'!U12</f>
        <v>0</v>
      </c>
      <c r="V4" s="80">
        <f>IF('META-DATA'!V12="",47484,'META-DATA'!V12)</f>
        <v>43292</v>
      </c>
      <c r="W4" s="175">
        <f>'META-DATA'!W12</f>
        <v>0.53385416666666663</v>
      </c>
      <c r="X4" s="75">
        <f>'META-DATA'!X12</f>
        <v>0</v>
      </c>
      <c r="Y4" s="80">
        <f>IF('META-DATA'!Y12="",47484,'META-DATA'!Y12)</f>
        <v>43293</v>
      </c>
      <c r="Z4" s="175">
        <f>'META-DATA'!Z12</f>
        <v>0.6958333333333333</v>
      </c>
      <c r="AA4" s="75">
        <f>'META-DATA'!AA12</f>
        <v>0</v>
      </c>
      <c r="AB4" s="80">
        <f>IF('META-DATA'!AB12="",47484,'META-DATA'!AB12)</f>
        <v>43333</v>
      </c>
      <c r="AC4" s="175">
        <f>'META-DATA'!AC12</f>
        <v>0.48125000000000001</v>
      </c>
      <c r="AD4" s="75">
        <f>'META-DATA'!AD12</f>
        <v>0</v>
      </c>
      <c r="AE4" s="80">
        <f>IF('META-DATA'!AE12="",47484,'META-DATA'!AE12)</f>
        <v>47484</v>
      </c>
      <c r="AF4" s="175">
        <f>'META-DATA'!AF12</f>
        <v>0</v>
      </c>
      <c r="AG4" s="75">
        <f>'META-DATA'!AG12</f>
        <v>0</v>
      </c>
      <c r="AH4" s="80">
        <f>IF('META-DATA'!AH12="",47484,'META-DATA'!AH12)</f>
        <v>43388</v>
      </c>
      <c r="AI4" s="175">
        <f>'META-DATA'!AI12</f>
        <v>0.63559027777777777</v>
      </c>
      <c r="AJ4" s="75">
        <f>'META-DATA'!AJ12</f>
        <v>0</v>
      </c>
      <c r="AK4" s="235" t="str">
        <f>IF('META-DATA'!AK12="","",'META-DATA'!AK12)</f>
        <v>CTD# S8044     SURFACED EARLY, RECOVERED ON RETRIEVAL DAY</v>
      </c>
      <c r="AL4" s="75" t="str">
        <f>'META-DATA'!AL12</f>
        <v>2018_UnivMD_Maryland_86896_Dep01_20180711</v>
      </c>
      <c r="AM4" s="2" t="str">
        <f>IF('META-DATA'!$J$4="frc29","Channell_Fred_frc29",'META-DATA'!$J$4)</f>
        <v>Channell_Fred_frc29</v>
      </c>
    </row>
    <row r="5" spans="1:39" s="2" customFormat="1" ht="15.75" customHeight="1" x14ac:dyDescent="0.2">
      <c r="A5" s="75" t="str">
        <f>'META-DATA'!A13</f>
        <v>UMD</v>
      </c>
      <c r="B5" s="75" t="str">
        <f>'META-DATA'!B13</f>
        <v>V2.5 Popup</v>
      </c>
      <c r="C5" s="75">
        <f>'META-DATA'!C13</f>
        <v>142</v>
      </c>
      <c r="D5" s="75" t="str">
        <f>'META-DATA'!D13</f>
        <v>CompactFlash</v>
      </c>
      <c r="E5" s="75">
        <f>'META-DATA'!E13</f>
        <v>3104</v>
      </c>
      <c r="F5" s="75">
        <f>'META-DATA'!F13</f>
        <v>0</v>
      </c>
      <c r="G5" s="75" t="str">
        <f>'META-DATA'!G13</f>
        <v>M4</v>
      </c>
      <c r="H5" s="75">
        <f>'META-DATA'!H13</f>
        <v>16</v>
      </c>
      <c r="I5" s="75">
        <f>'META-DATA'!I13</f>
        <v>16000</v>
      </c>
      <c r="J5" s="75">
        <f>'META-DATA'!J13</f>
        <v>10</v>
      </c>
      <c r="K5" s="75">
        <f>'META-DATA'!K13</f>
        <v>6400</v>
      </c>
      <c r="L5" s="75">
        <f>'META-DATA'!L13</f>
        <v>23.5</v>
      </c>
      <c r="M5" s="75">
        <f>'META-DATA'!M13</f>
        <v>0</v>
      </c>
      <c r="N5" s="75">
        <f>'META-DATA'!N13</f>
        <v>0</v>
      </c>
      <c r="O5" s="75">
        <f>'META-DATA'!O13</f>
        <v>38.352789999999999</v>
      </c>
      <c r="P5" s="75">
        <f>'META-DATA'!P13</f>
        <v>-74.776349999999994</v>
      </c>
      <c r="Q5" s="75">
        <f>'META-DATA'!Q13</f>
        <v>28</v>
      </c>
      <c r="R5" s="75" t="str">
        <f>'META-DATA'!R13</f>
        <v>S</v>
      </c>
      <c r="S5" s="75">
        <f>'META-DATA'!S13</f>
        <v>134132</v>
      </c>
      <c r="T5" s="75">
        <f>'META-DATA'!T13</f>
        <v>0</v>
      </c>
      <c r="U5" s="75">
        <f>'META-DATA'!U13</f>
        <v>0</v>
      </c>
      <c r="V5" s="80">
        <f>IF('META-DATA'!V13="",47484,'META-DATA'!V13)</f>
        <v>43292</v>
      </c>
      <c r="W5" s="175">
        <f>'META-DATA'!W13</f>
        <v>0.52060185185185182</v>
      </c>
      <c r="X5" s="75">
        <f>'META-DATA'!X13</f>
        <v>0</v>
      </c>
      <c r="Y5" s="80">
        <f>IF('META-DATA'!Y13="",47484,'META-DATA'!Y13)</f>
        <v>43293</v>
      </c>
      <c r="Z5" s="175">
        <f>'META-DATA'!Z13</f>
        <v>0.70347222222222217</v>
      </c>
      <c r="AA5" s="75">
        <f>'META-DATA'!AA13</f>
        <v>0</v>
      </c>
      <c r="AB5" s="80">
        <f>IF('META-DATA'!AB13="",47484,'META-DATA'!AB13)</f>
        <v>43333</v>
      </c>
      <c r="AC5" s="175">
        <f>'META-DATA'!AC13</f>
        <v>0.57430555555555551</v>
      </c>
      <c r="AD5" s="75">
        <f>'META-DATA'!AD13</f>
        <v>0</v>
      </c>
      <c r="AE5" s="80">
        <f>IF('META-DATA'!AE13="",47484,'META-DATA'!AE13)</f>
        <v>47484</v>
      </c>
      <c r="AF5" s="175">
        <f>'META-DATA'!AF13</f>
        <v>0</v>
      </c>
      <c r="AG5" s="75">
        <f>'META-DATA'!AG13</f>
        <v>0</v>
      </c>
      <c r="AH5" s="80">
        <f>IF('META-DATA'!AH13="",47484,'META-DATA'!AH13)</f>
        <v>43388</v>
      </c>
      <c r="AI5" s="175">
        <f>'META-DATA'!AI13</f>
        <v>0.50847222222222221</v>
      </c>
      <c r="AJ5" s="75">
        <f>'META-DATA'!AJ13</f>
        <v>0</v>
      </c>
      <c r="AK5" s="235" t="str">
        <f>IF('META-DATA'!AK13="","",'META-DATA'!AK13)</f>
        <v>CTD# S7959</v>
      </c>
      <c r="AL5" s="75" t="str">
        <f>'META-DATA'!AL13</f>
        <v>2018_UnivMD_Maryland_86896_Dep01_20180711</v>
      </c>
      <c r="AM5" s="2" t="str">
        <f>IF('META-DATA'!$J$4="frc29","Channell_Fred_frc29",'META-DATA'!$J$4)</f>
        <v>Channell_Fred_frc29</v>
      </c>
    </row>
  </sheetData>
  <pageMargins left="0.75" right="0.75" top="1" bottom="1" header="0.5" footer="0.5"/>
  <pageSetup scale="2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M3"/>
  <sheetViews>
    <sheetView zoomScale="106" zoomScaleNormal="106" zoomScaleSheetLayoutView="96" zoomScalePageLayoutView="106" workbookViewId="0">
      <selection activeCell="A3" sqref="A3"/>
    </sheetView>
  </sheetViews>
  <sheetFormatPr defaultColWidth="11.85546875" defaultRowHeight="12.75" x14ac:dyDescent="0.2"/>
  <cols>
    <col min="1" max="1" width="11.7109375" style="50" bestFit="1" customWidth="1"/>
    <col min="2" max="2" width="20.85546875" style="51" bestFit="1" customWidth="1"/>
    <col min="3" max="3" width="12.28515625" style="51" bestFit="1" customWidth="1"/>
    <col min="4" max="4" width="19.85546875" style="51" bestFit="1" customWidth="1"/>
    <col min="5" max="5" width="28" style="52" bestFit="1" customWidth="1"/>
    <col min="6" max="6" width="26.7109375" style="52" bestFit="1" customWidth="1"/>
    <col min="7" max="7" width="10.85546875" style="51" bestFit="1" customWidth="1"/>
    <col min="8" max="8" width="12.85546875" style="51" bestFit="1" customWidth="1"/>
    <col min="9" max="9" width="18.140625" style="51" bestFit="1" customWidth="1"/>
    <col min="10" max="10" width="20.7109375" style="51" bestFit="1" customWidth="1"/>
    <col min="11" max="11" width="19.85546875" style="51" bestFit="1" customWidth="1"/>
    <col min="12" max="12" width="9.140625" style="51" bestFit="1" customWidth="1"/>
    <col min="13" max="13" width="27.7109375" style="51" bestFit="1" customWidth="1"/>
    <col min="14" max="14" width="27.85546875" style="51" bestFit="1" customWidth="1"/>
    <col min="15" max="15" width="26.28515625" style="54" bestFit="1" customWidth="1"/>
    <col min="16" max="16" width="28.140625" style="54" bestFit="1" customWidth="1"/>
    <col min="17" max="17" width="26" style="54" bestFit="1" customWidth="1"/>
    <col min="18" max="18" width="39" style="55" bestFit="1" customWidth="1"/>
    <col min="19" max="19" width="10.140625" style="56" bestFit="1" customWidth="1"/>
    <col min="20" max="20" width="9.28515625" style="56" bestFit="1" customWidth="1"/>
    <col min="21" max="21" width="15.28515625" style="57" bestFit="1" customWidth="1"/>
    <col min="22" max="22" width="16.42578125" style="59" bestFit="1" customWidth="1"/>
    <col min="23" max="23" width="16.85546875" style="58" bestFit="1" customWidth="1"/>
    <col min="24" max="24" width="24" style="70" bestFit="1" customWidth="1"/>
    <col min="25" max="25" width="12.140625" style="59" bestFit="1" customWidth="1"/>
    <col min="26" max="26" width="12.42578125" style="58" bestFit="1" customWidth="1"/>
    <col min="27" max="27" width="27.85546875" style="70" bestFit="1" customWidth="1"/>
    <col min="28" max="28" width="14" style="59" bestFit="1" customWidth="1"/>
    <col min="29" max="29" width="14.28515625" style="58" bestFit="1" customWidth="1"/>
    <col min="30" max="30" width="25.28515625" style="70" bestFit="1" customWidth="1"/>
    <col min="31" max="31" width="16.28515625" style="59" bestFit="1" customWidth="1"/>
    <col min="32" max="32" width="16.7109375" style="58" bestFit="1" customWidth="1"/>
    <col min="33" max="33" width="23.85546875" style="70" bestFit="1" customWidth="1"/>
    <col min="34" max="34" width="15.85546875" style="59" bestFit="1" customWidth="1"/>
    <col min="35" max="35" width="16.140625" style="58" bestFit="1" customWidth="1"/>
    <col min="36" max="36" width="18.85546875" style="70" bestFit="1" customWidth="1"/>
    <col min="37" max="37" width="65.85546875" style="51" bestFit="1" customWidth="1"/>
    <col min="38" max="38" width="45.7109375" style="51" bestFit="1" customWidth="1"/>
    <col min="39" max="39" width="22" style="51" bestFit="1" customWidth="1"/>
    <col min="40" max="16384" width="11.85546875" style="51"/>
  </cols>
  <sheetData>
    <row r="1" spans="1:39" s="1" customFormat="1" ht="96" customHeight="1" x14ac:dyDescent="0.2">
      <c r="A1" s="37" t="s">
        <v>22</v>
      </c>
      <c r="B1" s="37" t="s">
        <v>29</v>
      </c>
      <c r="C1" s="37" t="s">
        <v>17</v>
      </c>
      <c r="D1" s="37" t="s">
        <v>57</v>
      </c>
      <c r="E1" s="37" t="s">
        <v>53</v>
      </c>
      <c r="F1" s="37" t="s">
        <v>54</v>
      </c>
      <c r="G1" s="38" t="s">
        <v>48</v>
      </c>
      <c r="H1" s="38" t="s">
        <v>30</v>
      </c>
      <c r="I1" s="38" t="s">
        <v>66</v>
      </c>
      <c r="J1" s="38" t="s">
        <v>64</v>
      </c>
      <c r="K1" s="38" t="s">
        <v>65</v>
      </c>
      <c r="L1" s="38" t="s">
        <v>31</v>
      </c>
      <c r="M1" s="38" t="s">
        <v>32</v>
      </c>
      <c r="N1" s="38" t="s">
        <v>33</v>
      </c>
      <c r="O1" s="39" t="s">
        <v>35</v>
      </c>
      <c r="P1" s="39" t="s">
        <v>34</v>
      </c>
      <c r="Q1" s="40" t="s">
        <v>36</v>
      </c>
      <c r="R1" s="40" t="s">
        <v>37</v>
      </c>
      <c r="S1" s="41" t="s">
        <v>19</v>
      </c>
      <c r="T1" s="41" t="s">
        <v>99</v>
      </c>
      <c r="U1" s="42" t="s">
        <v>20</v>
      </c>
      <c r="V1" s="45" t="s">
        <v>1</v>
      </c>
      <c r="W1" s="46" t="s">
        <v>14</v>
      </c>
      <c r="X1" s="69" t="s">
        <v>59</v>
      </c>
      <c r="Y1" s="45" t="s">
        <v>0</v>
      </c>
      <c r="Z1" s="46" t="s">
        <v>13</v>
      </c>
      <c r="AA1" s="69" t="s">
        <v>60</v>
      </c>
      <c r="AB1" s="66" t="s">
        <v>10</v>
      </c>
      <c r="AC1" s="47" t="s">
        <v>18</v>
      </c>
      <c r="AD1" s="71" t="s">
        <v>61</v>
      </c>
      <c r="AE1" s="66" t="s">
        <v>11</v>
      </c>
      <c r="AF1" s="47" t="s">
        <v>12</v>
      </c>
      <c r="AG1" s="71" t="s">
        <v>63</v>
      </c>
      <c r="AH1" s="48" t="s">
        <v>15</v>
      </c>
      <c r="AI1" s="49" t="s">
        <v>16</v>
      </c>
      <c r="AJ1" s="72" t="s">
        <v>62</v>
      </c>
      <c r="AK1" s="74" t="s">
        <v>2</v>
      </c>
      <c r="AL1" s="74" t="s">
        <v>21</v>
      </c>
      <c r="AM1" s="1" t="s">
        <v>120</v>
      </c>
    </row>
    <row r="2" spans="1:39" s="226" customFormat="1" ht="96" customHeight="1" x14ac:dyDescent="0.2">
      <c r="A2" s="211" t="s">
        <v>81</v>
      </c>
      <c r="B2" s="211" t="s">
        <v>82</v>
      </c>
      <c r="C2" s="211" t="s">
        <v>83</v>
      </c>
      <c r="D2" s="211" t="s">
        <v>84</v>
      </c>
      <c r="E2" s="211" t="s">
        <v>85</v>
      </c>
      <c r="F2" s="211" t="s">
        <v>86</v>
      </c>
      <c r="G2" s="212" t="s">
        <v>87</v>
      </c>
      <c r="H2" s="232" t="s">
        <v>115</v>
      </c>
      <c r="I2" s="212" t="s">
        <v>88</v>
      </c>
      <c r="J2" s="212" t="s">
        <v>89</v>
      </c>
      <c r="K2" s="212" t="s">
        <v>90</v>
      </c>
      <c r="L2" s="212" t="s">
        <v>91</v>
      </c>
      <c r="M2" s="212" t="s">
        <v>92</v>
      </c>
      <c r="N2" s="212" t="s">
        <v>93</v>
      </c>
      <c r="O2" s="213" t="s">
        <v>94</v>
      </c>
      <c r="P2" s="213" t="s">
        <v>95</v>
      </c>
      <c r="Q2" s="214" t="s">
        <v>96</v>
      </c>
      <c r="R2" s="214" t="s">
        <v>97</v>
      </c>
      <c r="S2" s="215" t="s">
        <v>98</v>
      </c>
      <c r="T2" s="215" t="s">
        <v>100</v>
      </c>
      <c r="U2" s="216" t="s">
        <v>116</v>
      </c>
      <c r="V2" s="217" t="s">
        <v>101</v>
      </c>
      <c r="W2" s="218" t="s">
        <v>102</v>
      </c>
      <c r="X2" s="219" t="s">
        <v>103</v>
      </c>
      <c r="Y2" s="217" t="s">
        <v>104</v>
      </c>
      <c r="Z2" s="218" t="s">
        <v>105</v>
      </c>
      <c r="AA2" s="219" t="s">
        <v>106</v>
      </c>
      <c r="AB2" s="220" t="s">
        <v>107</v>
      </c>
      <c r="AC2" s="221" t="s">
        <v>108</v>
      </c>
      <c r="AD2" s="222" t="s">
        <v>109</v>
      </c>
      <c r="AE2" s="220" t="s">
        <v>110</v>
      </c>
      <c r="AF2" s="221" t="s">
        <v>111</v>
      </c>
      <c r="AG2" s="222" t="s">
        <v>112</v>
      </c>
      <c r="AH2" s="223" t="s">
        <v>117</v>
      </c>
      <c r="AI2" s="224" t="s">
        <v>118</v>
      </c>
      <c r="AJ2" s="233" t="s">
        <v>119</v>
      </c>
      <c r="AK2" s="225" t="s">
        <v>113</v>
      </c>
      <c r="AL2" s="225" t="s">
        <v>114</v>
      </c>
      <c r="AM2" s="226" t="s">
        <v>121</v>
      </c>
    </row>
    <row r="3" spans="1:39" s="2" customFormat="1" ht="15.75" customHeight="1" x14ac:dyDescent="0.2">
      <c r="A3" s="75" t="str">
        <f>'META-DATA'!A10</f>
        <v>UMD</v>
      </c>
      <c r="B3" s="75" t="str">
        <f>'META-DATA'!B10</f>
        <v>V2.5 Popup</v>
      </c>
      <c r="C3" s="75">
        <f>'META-DATA'!C10</f>
        <v>168</v>
      </c>
      <c r="D3" s="75" t="str">
        <f>'META-DATA'!D10</f>
        <v>CompactFlash</v>
      </c>
      <c r="E3" s="75">
        <f>'META-DATA'!E10</f>
        <v>3164</v>
      </c>
      <c r="F3" s="75">
        <f>'META-DATA'!F10</f>
        <v>0</v>
      </c>
      <c r="G3" s="75" t="str">
        <f>'META-DATA'!G10</f>
        <v>M1</v>
      </c>
      <c r="H3" s="75">
        <f>'META-DATA'!H10</f>
        <v>16</v>
      </c>
      <c r="I3" s="75">
        <f>'META-DATA'!I10</f>
        <v>16000</v>
      </c>
      <c r="J3" s="75">
        <f>'META-DATA'!J10</f>
        <v>10</v>
      </c>
      <c r="K3" s="75">
        <f>'META-DATA'!K10</f>
        <v>6400</v>
      </c>
      <c r="L3" s="75">
        <f>'META-DATA'!L10</f>
        <v>23.5</v>
      </c>
      <c r="M3" s="75">
        <f>'META-DATA'!M10</f>
        <v>0</v>
      </c>
      <c r="N3" s="75">
        <f>'META-DATA'!N10</f>
        <v>0</v>
      </c>
      <c r="O3" s="75">
        <f>'META-DATA'!O10</f>
        <v>38.370310000000003</v>
      </c>
      <c r="P3" s="75">
        <f>'META-DATA'!P10</f>
        <v>-74.753839999999997</v>
      </c>
      <c r="Q3" s="75">
        <f>'META-DATA'!Q10</f>
        <v>27</v>
      </c>
      <c r="R3" s="75" t="str">
        <f>'META-DATA'!R10</f>
        <v>S</v>
      </c>
      <c r="S3" s="75">
        <f>'META-DATA'!S10</f>
        <v>134121</v>
      </c>
      <c r="T3" s="75">
        <f>'META-DATA'!T10</f>
        <v>0</v>
      </c>
      <c r="U3" s="75">
        <f>'META-DATA'!U10</f>
        <v>0</v>
      </c>
      <c r="V3" s="80">
        <f>IF('META-DATA'!V10="",47484,'META-DATA'!V10)</f>
        <v>43292</v>
      </c>
      <c r="W3" s="175">
        <f>'META-DATA'!W10</f>
        <v>0.52575231481481477</v>
      </c>
      <c r="X3" s="75">
        <f>'META-DATA'!X10</f>
        <v>0</v>
      </c>
      <c r="Y3" s="80">
        <f>IF('META-DATA'!Y10="",47484,'META-DATA'!Y10)</f>
        <v>43293</v>
      </c>
      <c r="Z3" s="175">
        <f>'META-DATA'!Z10</f>
        <v>0.7104166666666667</v>
      </c>
      <c r="AA3" s="75">
        <f>'META-DATA'!AA10</f>
        <v>0</v>
      </c>
      <c r="AB3" s="80">
        <f>IF('META-DATA'!AB10="",47484,'META-DATA'!AB10)</f>
        <v>43333</v>
      </c>
      <c r="AC3" s="175">
        <f>'META-DATA'!AC10</f>
        <v>0.52916666666666667</v>
      </c>
      <c r="AD3" s="75">
        <f>'META-DATA'!AD10</f>
        <v>0</v>
      </c>
      <c r="AE3" s="80">
        <f>IF('META-DATA'!AE10="",47484,'META-DATA'!AE10)</f>
        <v>47484</v>
      </c>
      <c r="AF3" s="175">
        <f>'META-DATA'!AF10</f>
        <v>0</v>
      </c>
      <c r="AG3" s="75">
        <f>'META-DATA'!AG10</f>
        <v>0</v>
      </c>
      <c r="AH3" s="80">
        <f>IF('META-DATA'!AH10="",47484,'META-DATA'!AH10)</f>
        <v>43388</v>
      </c>
      <c r="AI3" s="175">
        <f>'META-DATA'!AI10</f>
        <v>0.55084490740740744</v>
      </c>
      <c r="AJ3" s="75">
        <f>'META-DATA'!AJ10</f>
        <v>0</v>
      </c>
      <c r="AK3" s="81" t="str">
        <f>IF('META-DATA'!AK10="","",'META-DATA'!AK10)</f>
        <v/>
      </c>
      <c r="AL3" s="75" t="str">
        <f>'META-DATA'!AL10</f>
        <v>2018_UnivMD_Maryland_86896_Dep01_20180711</v>
      </c>
      <c r="AM3" s="2" t="str">
        <f>'META-DATA'!$F$4</f>
        <v>FRC29</v>
      </c>
    </row>
  </sheetData>
  <pageMargins left="0.75" right="0.75" top="1" bottom="1" header="0.5" footer="0.5"/>
  <pageSetup scale="24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META-DATA</vt:lpstr>
      <vt:lpstr>DECK SYNCHRONIZATIONS</vt:lpstr>
      <vt:lpstr>ARGOS REPORT</vt:lpstr>
      <vt:lpstr>DATA TABLE FOR EXPORT</vt:lpstr>
      <vt:lpstr>GENERAL NOTES</vt:lpstr>
      <vt:lpstr>DICTIONARY</vt:lpstr>
      <vt:lpstr>DATA TABLE w FM</vt:lpstr>
    </vt:vector>
  </TitlesOfParts>
  <Company>Bioacoustics Research Program Cornell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Tremblay;Chris Pelkie</dc:creator>
  <cp:lastModifiedBy>Chris Pelkie</cp:lastModifiedBy>
  <cp:lastPrinted>2015-06-17T11:25:51Z</cp:lastPrinted>
  <dcterms:created xsi:type="dcterms:W3CDTF">2007-06-07T18:22:17Z</dcterms:created>
  <dcterms:modified xsi:type="dcterms:W3CDTF">2019-02-04T14:12:38Z</dcterms:modified>
</cp:coreProperties>
</file>